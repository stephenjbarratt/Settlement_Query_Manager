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4ff3754aa29ba756/Desktop/Business Analyst/2. Analyst/Portfolio Projects/Client Facilitation ^0 Query Tracker/"/>
    </mc:Choice>
  </mc:AlternateContent>
  <xr:revisionPtr revIDLastSave="0" documentId="8_{3214D3B6-4E49-4E01-AEF2-BC61E01C1421}" xr6:coauthVersionLast="47" xr6:coauthVersionMax="47" xr10:uidLastSave="{00000000-0000-0000-0000-000000000000}"/>
  <bookViews>
    <workbookView xWindow="-108" yWindow="-108" windowWidth="23256" windowHeight="12456" xr2:uid="{BA1A37BD-645A-4634-91BD-8588D3708A16}"/>
  </bookViews>
  <sheets>
    <sheet name="Dashboard" sheetId="1" r:id="rId1"/>
    <sheet name="Data" sheetId="4" r:id="rId2"/>
    <sheet name="Calculation_Sheet" sheetId="3" r:id="rId3"/>
  </sheets>
  <definedNames>
    <definedName name="DemoDate">Calculation_Sheet!$F$16</definedName>
    <definedName name="Slicer_Asset_Class">#N/A</definedName>
    <definedName name="Slicer_Counterpar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6" i="4" l="1"/>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I6" i="4" a="1"/>
  <c r="I6" i="4"/>
  <c r="I7" i="4" a="1"/>
  <c r="I7" i="4"/>
  <c r="I8" i="4" a="1"/>
  <c r="I8" i="4"/>
  <c r="I9" i="4" a="1"/>
  <c r="I9" i="4"/>
  <c r="I10" i="4" a="1"/>
  <c r="I10" i="4"/>
  <c r="I11" i="4" a="1"/>
  <c r="I11" i="4"/>
  <c r="I12" i="4" a="1"/>
  <c r="I12" i="4"/>
  <c r="I13" i="4" a="1"/>
  <c r="I13" i="4"/>
  <c r="I14" i="4" a="1"/>
  <c r="I14" i="4"/>
  <c r="I15" i="4" a="1"/>
  <c r="I15" i="4"/>
  <c r="I16" i="4" a="1"/>
  <c r="I16" i="4"/>
  <c r="I17" i="4" a="1"/>
  <c r="I17" i="4"/>
  <c r="I18" i="4" a="1"/>
  <c r="I18" i="4"/>
  <c r="I19" i="4" a="1"/>
  <c r="I19" i="4"/>
  <c r="I20" i="4" a="1"/>
  <c r="I20" i="4"/>
  <c r="I21" i="4" a="1"/>
  <c r="I21" i="4"/>
  <c r="I22" i="4" a="1"/>
  <c r="I22" i="4"/>
  <c r="I23" i="4" a="1"/>
  <c r="I23" i="4"/>
  <c r="I24" i="4" a="1"/>
  <c r="I24" i="4"/>
  <c r="I25" i="4" a="1"/>
  <c r="I25" i="4"/>
  <c r="I26" i="4" a="1"/>
  <c r="I26" i="4"/>
  <c r="I27" i="4" a="1"/>
  <c r="I27" i="4"/>
  <c r="I28" i="4" a="1"/>
  <c r="I28" i="4"/>
  <c r="I29" i="4" a="1"/>
  <c r="I29" i="4"/>
  <c r="I30" i="4" a="1"/>
  <c r="I30" i="4"/>
  <c r="I31" i="4" a="1"/>
  <c r="I31" i="4"/>
  <c r="I32" i="4" a="1"/>
  <c r="I32" i="4"/>
  <c r="I33" i="4" a="1"/>
  <c r="I33" i="4"/>
  <c r="I34" i="4" a="1"/>
  <c r="I34" i="4"/>
  <c r="I35" i="4" a="1"/>
  <c r="I35" i="4"/>
  <c r="I36" i="4" a="1"/>
  <c r="I36" i="4"/>
  <c r="I37" i="4" a="1"/>
  <c r="I37" i="4"/>
  <c r="I38" i="4" a="1"/>
  <c r="I38" i="4"/>
  <c r="I39" i="4" a="1"/>
  <c r="I39" i="4"/>
  <c r="I40" i="4" a="1"/>
  <c r="I40" i="4"/>
  <c r="I41" i="4" a="1"/>
  <c r="I41" i="4"/>
  <c r="I42" i="4" a="1"/>
  <c r="I42" i="4"/>
  <c r="I43" i="4" a="1"/>
  <c r="I43" i="4"/>
  <c r="I44" i="4" a="1"/>
  <c r="I44" i="4"/>
  <c r="I45" i="4" a="1"/>
  <c r="I45" i="4"/>
  <c r="I46" i="4" a="1"/>
  <c r="I46" i="4"/>
  <c r="I47" i="4" a="1"/>
  <c r="I47" i="4"/>
  <c r="I48" i="4" a="1"/>
  <c r="I48" i="4"/>
  <c r="I49" i="4" a="1"/>
  <c r="I49" i="4"/>
  <c r="I50" i="4" a="1"/>
  <c r="I50" i="4"/>
  <c r="I51" i="4" a="1"/>
  <c r="I51" i="4"/>
  <c r="I52" i="4" a="1"/>
  <c r="I52" i="4"/>
  <c r="I53" i="4" a="1"/>
  <c r="I53" i="4"/>
  <c r="I54" i="4" a="1"/>
  <c r="I54" i="4"/>
  <c r="H5" i="4"/>
  <c r="F7" i="3"/>
  <c r="F6" i="3"/>
  <c r="F13" i="3"/>
  <c r="F5" i="3"/>
  <c r="F8" i="3" s="1"/>
  <c r="I5" i="4" a="1"/>
  <c r="I5"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<sst xmlns="http://schemas.openxmlformats.org/spreadsheetml/2006/main" count="259" uniqueCount="102">
  <si>
    <t>Status</t>
  </si>
  <si>
    <t>Query ID</t>
  </si>
  <si>
    <t>CITI-001</t>
  </si>
  <si>
    <t>CITI-002</t>
  </si>
  <si>
    <t>CITI-003</t>
  </si>
  <si>
    <t>CITI-004</t>
  </si>
  <si>
    <t>CITI-005</t>
  </si>
  <si>
    <t>CITI-006</t>
  </si>
  <si>
    <t>CITI-007</t>
  </si>
  <si>
    <t>CITI-008</t>
  </si>
  <si>
    <t>CITI-009</t>
  </si>
  <si>
    <t>CITI-010</t>
  </si>
  <si>
    <t>CITI-011</t>
  </si>
  <si>
    <t>CITI-012</t>
  </si>
  <si>
    <t>CITI-013</t>
  </si>
  <si>
    <t>CITI-014</t>
  </si>
  <si>
    <t>CITI-015</t>
  </si>
  <si>
    <t>Date Received</t>
  </si>
  <si>
    <t>Counterparty</t>
  </si>
  <si>
    <t>Asset Class</t>
  </si>
  <si>
    <t>BlackRock Global</t>
  </si>
  <si>
    <t>J.P. Morgan</t>
  </si>
  <si>
    <t>Vanguard Group</t>
  </si>
  <si>
    <t>Goldman Sachs</t>
  </si>
  <si>
    <t>HSBC London</t>
  </si>
  <si>
    <t>Morgan Stanley</t>
  </si>
  <si>
    <t>UBS AG</t>
  </si>
  <si>
    <t>Barclays PLC</t>
  </si>
  <si>
    <t>Fidelity Investments</t>
  </si>
  <si>
    <t>State Street</t>
  </si>
  <si>
    <t>BNP Paribas</t>
  </si>
  <si>
    <t>Citadel Securities</t>
  </si>
  <si>
    <t>Deutsche Bank</t>
  </si>
  <si>
    <t>PIMCO</t>
  </si>
  <si>
    <t>Credit Agricole</t>
  </si>
  <si>
    <t>Equities</t>
  </si>
  <si>
    <t>FX</t>
  </si>
  <si>
    <t>Fixed Income</t>
  </si>
  <si>
    <t>Derivatives</t>
  </si>
  <si>
    <t>Commodities</t>
  </si>
  <si>
    <t>Securities</t>
  </si>
  <si>
    <t>Resolution Date</t>
  </si>
  <si>
    <t>Resolved</t>
  </si>
  <si>
    <t>Open</t>
  </si>
  <si>
    <t>Pending</t>
  </si>
  <si>
    <t>Count</t>
  </si>
  <si>
    <t>Total</t>
  </si>
  <si>
    <t>#00AEEF</t>
  </si>
  <si>
    <t>#EE3124</t>
  </si>
  <si>
    <t>Risk Bucket</t>
  </si>
  <si>
    <t>Aged Risk (Days)</t>
  </si>
  <si>
    <t>Row Labels</t>
  </si>
  <si>
    <t>High Risk</t>
  </si>
  <si>
    <t>Low Risk</t>
  </si>
  <si>
    <t>Medium Risk</t>
  </si>
  <si>
    <t>Grand Total</t>
  </si>
  <si>
    <t>Count of Query ID</t>
  </si>
  <si>
    <t>Column Labels</t>
  </si>
  <si>
    <t>CITI-016</t>
  </si>
  <si>
    <t>Client Query Dataset</t>
  </si>
  <si>
    <t>CITI-017</t>
  </si>
  <si>
    <t>CITI-018</t>
  </si>
  <si>
    <t>Risk</t>
  </si>
  <si>
    <t>Risk Profile:</t>
  </si>
  <si>
    <t>Operational Status:</t>
  </si>
  <si>
    <t>CITI-019</t>
  </si>
  <si>
    <t>CITI-020</t>
  </si>
  <si>
    <t>CITI-021</t>
  </si>
  <si>
    <t>CITI-022</t>
  </si>
  <si>
    <t>CITI-023</t>
  </si>
  <si>
    <t>CITI-024</t>
  </si>
  <si>
    <t>CITI-025</t>
  </si>
  <si>
    <t>CITI-026</t>
  </si>
  <si>
    <t>CITI-027</t>
  </si>
  <si>
    <t>CITI-028</t>
  </si>
  <si>
    <t>CITI-029</t>
  </si>
  <si>
    <t>CITI-030</t>
  </si>
  <si>
    <t>CITI-031</t>
  </si>
  <si>
    <t>CITI-032</t>
  </si>
  <si>
    <t>CITI-033</t>
  </si>
  <si>
    <t>CITI-034</t>
  </si>
  <si>
    <t>CITI-035</t>
  </si>
  <si>
    <t>CITI-036</t>
  </si>
  <si>
    <t>CITI-037</t>
  </si>
  <si>
    <t>CITI-038</t>
  </si>
  <si>
    <t>CITI-039</t>
  </si>
  <si>
    <t>CITI-040</t>
  </si>
  <si>
    <t>CITI-041</t>
  </si>
  <si>
    <t>CITI-042</t>
  </si>
  <si>
    <t>CITI-043</t>
  </si>
  <si>
    <t>CITI-044</t>
  </si>
  <si>
    <t>CITI-045</t>
  </si>
  <si>
    <t>CITI-046</t>
  </si>
  <si>
    <t>CITI-047</t>
  </si>
  <si>
    <t>CITI-048</t>
  </si>
  <si>
    <t>CITI-049</t>
  </si>
  <si>
    <t>CITI-050</t>
  </si>
  <si>
    <t>UBS Group</t>
  </si>
  <si>
    <t>Colour Codes:</t>
  </si>
  <si>
    <t>#003B70</t>
  </si>
  <si>
    <t>(Multiple Items)</t>
  </si>
  <si>
    <t>Anchor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</si>
</sst>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sz val="8"/>
      <name val="Aptos Narrow"/>
      <family val="2"/>
      <scheme val="minor"/>
    </font>
    <font>
      <sz val="20"/>
      <color theme="1"/>
      <name val="Aptos Narrow"/>
      <family val="2"/>
      <scheme val="minor"/>
    </font>
    <font>
      <u/>
      <sz val="11"/>
      <color theme="1"/>
      <name val="Aptos Narrow"/>
      <family val="2"/>
      <scheme val="minor"/>
    </font>
  </fonts>
  <fills count="5">
    <fill>
      <patternFill patternType="none"/>
    </fill>
    <fill>
      <patternFill patternType="gray125"/>
    </fill>
    <fill>
      <patternFill patternType="solid">
        <fgColor rgb="FF003B70"/>
        <bgColor indexed="64"/>
      </patternFill>
    </fill>
    <fill>
      <patternFill patternType="solid">
        <fgColor rgb="FF00AEEF"/>
        <bgColor indexed="64"/>
      </patternFill>
    </fill>
    <fill>
      <patternFill patternType="solid">
        <fgColor rgb="FFEE3124"/>
        <bgColor indexed="64"/>
      </patternFill>
    </fill>
  </fills>
  <borders count="1">
    <border>
      <left/>
      <right/>
      <top/>
      <bottom/>
      <diagonal/>
    </border>
  </borders>
  <cellStyleXfs count="2">
    <xf numFmtId="0" fontId="0" fillId="0" borderId="0"/>
    <xf numFmtId="0" fontId="1" fillId="0" borderId="0"/>
  </cellStyleXfs>
  <cellXfs count="14">
    <xf numFmtId="0" fontId="0" fillId="0" borderId="0" xfId="0"/>
    <xf numFmtId="0" fontId="2" fillId="2" borderId="0" xfId="1"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14" fontId="0" fillId="0" borderId="0" xfId="0" applyNumberFormat="1"/>
    <xf numFmtId="0" fontId="0" fillId="0" borderId="0" xfId="0" applyAlignment="1">
      <alignment horizontal="left"/>
    </xf>
    <xf numFmtId="0" fontId="0" fillId="0" borderId="0" xfId="0" pivotButton="1"/>
    <xf numFmtId="0" fontId="4" fillId="0" borderId="0" xfId="0" applyFont="1"/>
    <xf numFmtId="0" fontId="5" fillId="0" borderId="0" xfId="0" applyFont="1" applyAlignment="1">
      <alignment horizontal="left"/>
    </xf>
    <xf numFmtId="0" fontId="5" fillId="0" borderId="0" xfId="0" applyFont="1"/>
    <xf numFmtId="0" fontId="0" fillId="3" borderId="0" xfId="0" applyFill="1"/>
    <xf numFmtId="0" fontId="0" fillId="4" borderId="0" xfId="0" applyFill="1"/>
    <xf numFmtId="0" fontId="0" fillId="2" borderId="0" xfId="0" applyFill="1"/>
    <xf numFmtId="0" fontId="0" fillId="0" borderId="0" xfId="0" applyNumberFormat="1"/>
  </cellXfs>
  <cellStyles count="2">
    <cellStyle name="Normal" xfId="0" builtinId="0"/>
    <cellStyle name="Normal 2" xfId="1" xr:uid="{F07D90AA-7C6C-4997-A972-25D995876AE3}"/>
  </cellStyles>
  <dxfs count="10">
    <dxf>
      <font>
        <color rgb="FF006100"/>
      </font>
      <fill>
        <patternFill>
          <bgColor rgb="FFC6EFCE"/>
        </patternFill>
      </fill>
    </dxf>
    <dxf>
      <font>
        <color rgb="FF9C5700"/>
      </font>
      <fill>
        <patternFill>
          <bgColor rgb="FFFFEB9C"/>
        </patternFill>
      </fill>
    </dxf>
    <dxf>
      <font>
        <color rgb="FF9C0006"/>
      </font>
      <fill>
        <patternFill>
          <bgColor rgb="FFFFC7CE"/>
        </patternFill>
      </fill>
    </dxf>
    <dxf>
      <numFmt numFmtId="0" formatCode="General"/>
    </dxf>
    <dxf>
      <numFmt numFmtId="0" formatCode="General"/>
      <alignment horizontal="center" vertical="bottom" textRotation="0" wrapText="0" indent="0" justifyLastLine="0" shrinkToFit="0" readingOrder="0"/>
    </dxf>
    <dxf>
      <numFmt numFmtId="19" formatCode="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numFmt numFmtId="19" formatCode="d/mm/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rgb="FF003B70"/>
        </patternFill>
      </fill>
      <alignment horizontal="center" vertical="bottom" textRotation="0" wrapText="0" indent="0" justifyLastLine="0" shrinkToFit="0" readingOrder="0"/>
    </dxf>
  </dxfs>
  <tableStyles count="0" defaultTableStyle="TableStyleMedium2" defaultPivotStyle="PivotStyleLight16"/>
  <colors>
    <mruColors>
      <color rgb="FF003B70"/>
      <color rgb="FFEE3124"/>
      <color rgb="FF00AEEF"/>
      <color rgb="FFE2EFDA"/>
      <color rgb="FFFFB8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[Settlement_Query_Manager.xlsx]Calculation_Sheet!RiskByAsset</c:name>
    <c:fmtId val="1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AU" sz="1400"/>
              <a:t>Active Risk</a:t>
            </a:r>
            <a:r>
              <a:rPr lang="en-AU" sz="1400" baseline="0"/>
              <a:t> Distribution by Asset Class</a:t>
            </a:r>
            <a:endParaRPr lang="en-AU" sz="1400"/>
          </a:p>
        </c:rich>
      </c:tx>
      <c:layout>
        <c:manualLayout>
          <c:xMode val="edge"/>
          <c:yMode val="edge"/>
          <c:x val="0.12372687407976442"/>
          <c:y val="3.247856640640817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rgbClr val="00AE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B8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31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AE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B8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E31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AE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B8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E31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E3124"/>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88421158893598E-2"/>
          <c:y val="0.20486623382603492"/>
          <c:w val="0.73222020808550015"/>
          <c:h val="0.68917889310598768"/>
        </c:manualLayout>
      </c:layout>
      <c:barChart>
        <c:barDir val="col"/>
        <c:grouping val="stacked"/>
        <c:varyColors val="0"/>
        <c:ser>
          <c:idx val="0"/>
          <c:order val="0"/>
          <c:tx>
            <c:strRef>
              <c:f>Calculation_Sheet!$C$20:$C$21</c:f>
              <c:strCache>
                <c:ptCount val="1"/>
                <c:pt idx="0">
                  <c:v>Low Risk</c:v>
                </c:pt>
              </c:strCache>
            </c:strRef>
          </c:tx>
          <c:spPr>
            <a:solidFill>
              <a:srgbClr val="00AE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Calculation_Sheet!$B$22:$B$28</c:f>
              <c:strCache>
                <c:ptCount val="6"/>
                <c:pt idx="0">
                  <c:v>Commodities</c:v>
                </c:pt>
                <c:pt idx="1">
                  <c:v>Derivatives</c:v>
                </c:pt>
                <c:pt idx="2">
                  <c:v>Equities</c:v>
                </c:pt>
                <c:pt idx="3">
                  <c:v>Fixed Income</c:v>
                </c:pt>
                <c:pt idx="4">
                  <c:v>FX</c:v>
                </c:pt>
                <c:pt idx="5">
                  <c:v>Securities</c:v>
                </c:pt>
              </c:strCache>
            </c:strRef>
          </c:cat>
          <c:val>
            <c:numRef>
              <c:f>Calculation_Sheet!$C$22:$C$28</c:f>
              <c:numCache>
                <c:formatCode>General</c:formatCode>
                <c:ptCount val="6"/>
                <c:pt idx="0">
                  <c:v>2</c:v>
                </c:pt>
                <c:pt idx="1">
                  <c:v>5</c:v>
                </c:pt>
                <c:pt idx="2">
                  <c:v>2</c:v>
                </c:pt>
                <c:pt idx="3">
                  <c:v>1</c:v>
                </c:pt>
                <c:pt idx="4">
                  <c:v>2</c:v>
                </c:pt>
              </c:numCache>
            </c:numRef>
          </c:val>
          <c:extLst>
            <c:ext xmlns:c16="http://schemas.microsoft.com/office/drawing/2014/chart" uri="{C3380CC4-5D6E-409C-BE32-E72D297353CC}">
              <c16:uniqueId val="{00000000-9802-4FC7-B660-85BE74DC1AAD}"/>
            </c:ext>
          </c:extLst>
        </c:ser>
        <c:ser>
          <c:idx val="1"/>
          <c:order val="1"/>
          <c:tx>
            <c:strRef>
              <c:f>Calculation_Sheet!$D$20:$D$21</c:f>
              <c:strCache>
                <c:ptCount val="1"/>
                <c:pt idx="0">
                  <c:v>Medium Risk</c:v>
                </c:pt>
              </c:strCache>
            </c:strRef>
          </c:tx>
          <c:spPr>
            <a:solidFill>
              <a:srgbClr val="FFB81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Calculation_Sheet!$B$22:$B$28</c:f>
              <c:strCache>
                <c:ptCount val="6"/>
                <c:pt idx="0">
                  <c:v>Commodities</c:v>
                </c:pt>
                <c:pt idx="1">
                  <c:v>Derivatives</c:v>
                </c:pt>
                <c:pt idx="2">
                  <c:v>Equities</c:v>
                </c:pt>
                <c:pt idx="3">
                  <c:v>Fixed Income</c:v>
                </c:pt>
                <c:pt idx="4">
                  <c:v>FX</c:v>
                </c:pt>
                <c:pt idx="5">
                  <c:v>Securities</c:v>
                </c:pt>
              </c:strCache>
            </c:strRef>
          </c:cat>
          <c:val>
            <c:numRef>
              <c:f>Calculation_Sheet!$D$22:$D$28</c:f>
              <c:numCache>
                <c:formatCode>General</c:formatCode>
                <c:ptCount val="6"/>
                <c:pt idx="0">
                  <c:v>2</c:v>
                </c:pt>
                <c:pt idx="2">
                  <c:v>3</c:v>
                </c:pt>
                <c:pt idx="3">
                  <c:v>3</c:v>
                </c:pt>
                <c:pt idx="4">
                  <c:v>3</c:v>
                </c:pt>
              </c:numCache>
            </c:numRef>
          </c:val>
          <c:extLst>
            <c:ext xmlns:c16="http://schemas.microsoft.com/office/drawing/2014/chart" uri="{C3380CC4-5D6E-409C-BE32-E72D297353CC}">
              <c16:uniqueId val="{00000037-9802-4FC7-B660-85BE74DC1AAD}"/>
            </c:ext>
          </c:extLst>
        </c:ser>
        <c:ser>
          <c:idx val="2"/>
          <c:order val="2"/>
          <c:tx>
            <c:strRef>
              <c:f>Calculation_Sheet!$E$20:$E$21</c:f>
              <c:strCache>
                <c:ptCount val="1"/>
                <c:pt idx="0">
                  <c:v>High Risk</c:v>
                </c:pt>
              </c:strCache>
            </c:strRef>
          </c:tx>
          <c:spPr>
            <a:solidFill>
              <a:srgbClr val="EE31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Calculation_Sheet!$B$22:$B$28</c:f>
              <c:strCache>
                <c:ptCount val="6"/>
                <c:pt idx="0">
                  <c:v>Commodities</c:v>
                </c:pt>
                <c:pt idx="1">
                  <c:v>Derivatives</c:v>
                </c:pt>
                <c:pt idx="2">
                  <c:v>Equities</c:v>
                </c:pt>
                <c:pt idx="3">
                  <c:v>Fixed Income</c:v>
                </c:pt>
                <c:pt idx="4">
                  <c:v>FX</c:v>
                </c:pt>
                <c:pt idx="5">
                  <c:v>Securities</c:v>
                </c:pt>
              </c:strCache>
            </c:strRef>
          </c:cat>
          <c:val>
            <c:numRef>
              <c:f>Calculation_Sheet!$E$22:$E$28</c:f>
              <c:numCache>
                <c:formatCode>General</c:formatCode>
                <c:ptCount val="6"/>
                <c:pt idx="1">
                  <c:v>3</c:v>
                </c:pt>
                <c:pt idx="2">
                  <c:v>3</c:v>
                </c:pt>
                <c:pt idx="3">
                  <c:v>1</c:v>
                </c:pt>
                <c:pt idx="4">
                  <c:v>1</c:v>
                </c:pt>
                <c:pt idx="5">
                  <c:v>2</c:v>
                </c:pt>
              </c:numCache>
            </c:numRef>
          </c:val>
          <c:extLst>
            <c:ext xmlns:c16="http://schemas.microsoft.com/office/drawing/2014/chart" uri="{C3380CC4-5D6E-409C-BE32-E72D297353CC}">
              <c16:uniqueId val="{00000038-9802-4FC7-B660-85BE74DC1AAD}"/>
            </c:ext>
          </c:extLst>
        </c:ser>
        <c:dLbls>
          <c:showLegendKey val="0"/>
          <c:showVal val="0"/>
          <c:showCatName val="0"/>
          <c:showSerName val="0"/>
          <c:showPercent val="0"/>
          <c:showBubbleSize val="0"/>
        </c:dLbls>
        <c:gapWidth val="150"/>
        <c:overlap val="100"/>
        <c:axId val="1219207552"/>
        <c:axId val="1219191232"/>
      </c:barChart>
      <c:catAx>
        <c:axId val="121920755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19191232"/>
        <c:crosses val="autoZero"/>
        <c:auto val="1"/>
        <c:lblAlgn val="ctr"/>
        <c:lblOffset val="100"/>
        <c:noMultiLvlLbl val="0"/>
      </c:catAx>
      <c:valAx>
        <c:axId val="1219191232"/>
        <c:scaling>
          <c:orientation val="minMax"/>
        </c:scaling>
        <c:delete val="1"/>
        <c:axPos val="r"/>
        <c:numFmt formatCode="General" sourceLinked="1"/>
        <c:majorTickMark val="none"/>
        <c:minorTickMark val="none"/>
        <c:tickLblPos val="nextTo"/>
        <c:crossAx val="1219207552"/>
        <c:crosses val="autoZero"/>
        <c:crossBetween val="between"/>
      </c:valAx>
      <c:spPr>
        <a:noFill/>
        <a:ln>
          <a:noFill/>
        </a:ln>
        <a:effectLst/>
      </c:spPr>
    </c:plotArea>
    <c:legend>
      <c:legendPos val="t"/>
      <c:layout>
        <c:manualLayout>
          <c:xMode val="edge"/>
          <c:yMode val="edge"/>
          <c:x val="0.1613573074707125"/>
          <c:y val="0.15851729964329492"/>
          <c:w val="0.63179227102464652"/>
          <c:h val="8.2139056942206551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[Settlement_Query_Manager.xlsx]Calculation_Sheet!OperationalStatus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Operational</a:t>
            </a:r>
            <a:r>
              <a:rPr lang="en-US" sz="1400" baseline="0"/>
              <a:t> Status Overview</a:t>
            </a:r>
            <a:endParaRPr lang="en-US" sz="1400"/>
          </a:p>
        </c:rich>
      </c:tx>
      <c:layout>
        <c:manualLayout>
          <c:xMode val="edge"/>
          <c:yMode val="edge"/>
          <c:x val="0.21064753205680845"/>
          <c:y val="7.1744019522182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B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66555270707439"/>
          <c:y val="0.27032377410388275"/>
          <c:w val="0.71603987364951471"/>
          <c:h val="0.65747863247863247"/>
        </c:manualLayout>
      </c:layout>
      <c:barChart>
        <c:barDir val="bar"/>
        <c:grouping val="clustered"/>
        <c:varyColors val="0"/>
        <c:ser>
          <c:idx val="0"/>
          <c:order val="0"/>
          <c:tx>
            <c:strRef>
              <c:f>Calculation_Sheet!$C$4</c:f>
              <c:strCache>
                <c:ptCount val="1"/>
                <c:pt idx="0">
                  <c:v>Total</c:v>
                </c:pt>
              </c:strCache>
            </c:strRef>
          </c:tx>
          <c:spPr>
            <a:solidFill>
              <a:srgbClr val="003B7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Calculation_Sheet!$B$5:$B$8</c:f>
              <c:strCache>
                <c:ptCount val="3"/>
                <c:pt idx="0">
                  <c:v>Open</c:v>
                </c:pt>
                <c:pt idx="1">
                  <c:v>Resolved</c:v>
                </c:pt>
                <c:pt idx="2">
                  <c:v>Pending</c:v>
                </c:pt>
              </c:strCache>
            </c:strRef>
          </c:cat>
          <c:val>
            <c:numRef>
              <c:f>Calculation_Sheet!$C$5:$C$8</c:f>
              <c:numCache>
                <c:formatCode>General</c:formatCode>
                <c:ptCount val="3"/>
                <c:pt idx="0">
                  <c:v>22</c:v>
                </c:pt>
                <c:pt idx="1">
                  <c:v>17</c:v>
                </c:pt>
                <c:pt idx="2">
                  <c:v>11</c:v>
                </c:pt>
              </c:numCache>
            </c:numRef>
          </c:val>
          <c:extLst>
            <c:ext xmlns:c16="http://schemas.microsoft.com/office/drawing/2014/chart" uri="{C3380CC4-5D6E-409C-BE32-E72D297353CC}">
              <c16:uniqueId val="{00000000-58BD-4871-936A-43450D59084C}"/>
            </c:ext>
          </c:extLst>
        </c:ser>
        <c:dLbls>
          <c:showLegendKey val="0"/>
          <c:showVal val="0"/>
          <c:showCatName val="0"/>
          <c:showSerName val="0"/>
          <c:showPercent val="0"/>
          <c:showBubbleSize val="0"/>
        </c:dLbls>
        <c:gapWidth val="80"/>
        <c:axId val="1153789856"/>
        <c:axId val="1153791776"/>
      </c:barChart>
      <c:catAx>
        <c:axId val="115378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53791776"/>
        <c:crosses val="autoZero"/>
        <c:auto val="1"/>
        <c:lblAlgn val="ctr"/>
        <c:lblOffset val="100"/>
        <c:noMultiLvlLbl val="0"/>
      </c:catAx>
      <c:valAx>
        <c:axId val="1153791776"/>
        <c:scaling>
          <c:orientation val="minMax"/>
        </c:scaling>
        <c:delete val="1"/>
        <c:axPos val="b"/>
        <c:numFmt formatCode="General" sourceLinked="1"/>
        <c:majorTickMark val="none"/>
        <c:minorTickMark val="none"/>
        <c:tickLblPos val="nextTo"/>
        <c:crossAx val="115378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171449</xdr:colOff>
      <xdr:row>0</xdr:row>
      <xdr:rowOff>0</xdr:rowOff>
    </xdr:from>
    <xdr:to>
      <xdr:col>7</xdr:col>
      <xdr:colOff>1066800</xdr:colOff>
      <xdr:row>3</xdr:row>
      <xdr:rowOff>0</xdr:rowOff>
    </xdr:to>
    <xdr:sp macro="" textlink="">
      <xdr:nvSpPr>
        <xdr:cNvPr id="2" name="Rounded Rectangle 14">
          <a:extLst>
            <a:ext uri="{FF2B5EF4-FFF2-40B4-BE49-F238E27FC236}">
              <a16:creationId xmlns:a16="http://schemas.microsoft.com/office/drawing/2014/main" id="{28D96F22-6F10-4EB8-9D48-43B9E76E5019}"/>
            </a:ext>
          </a:extLst>
        </xdr:cNvPr>
        <xdr:cNvSpPr/>
      </xdr:nvSpPr>
      <xdr:spPr>
        <a:xfrm>
          <a:off x="171449" y="0"/>
          <a:ext cx="8248651" cy="647700"/>
        </a:xfrm>
        <a:prstGeom prst="roundRect">
          <a:avLst>
            <a:gd name="adj" fmla="val 10985"/>
          </a:avLst>
        </a:prstGeom>
        <a:solidFill>
          <a:srgbClr val="003B7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3200">
              <a:solidFill>
                <a:schemeClr val="lt1"/>
              </a:solidFill>
              <a:latin typeface="+mn-lt"/>
              <a:ea typeface="+mn-ea"/>
              <a:cs typeface="+mn-cs"/>
            </a:rPr>
            <a:t>Settlement Query Manager</a:t>
          </a:r>
        </a:p>
      </xdr:txBody>
    </xdr:sp>
    <xdr:clientData/>
  </xdr:twoCellAnchor>
  <xdr:twoCellAnchor>
    <xdr:from>
      <xdr:col>0</xdr:col>
      <xdr:colOff>285750</xdr:colOff>
      <xdr:row>2</xdr:row>
      <xdr:rowOff>45720</xdr:rowOff>
    </xdr:from>
    <xdr:to>
      <xdr:col>4</xdr:col>
      <xdr:colOff>1066800</xdr:colOff>
      <xdr:row>2</xdr:row>
      <xdr:rowOff>91439</xdr:rowOff>
    </xdr:to>
    <xdr:sp macro="" textlink="">
      <xdr:nvSpPr>
        <xdr:cNvPr id="3" name="Rectangle 2">
          <a:extLst>
            <a:ext uri="{FF2B5EF4-FFF2-40B4-BE49-F238E27FC236}">
              <a16:creationId xmlns:a16="http://schemas.microsoft.com/office/drawing/2014/main" id="{22223026-5610-41D9-D94C-57D6ED00605F}"/>
            </a:ext>
          </a:extLst>
        </xdr:cNvPr>
        <xdr:cNvSpPr/>
      </xdr:nvSpPr>
      <xdr:spPr>
        <a:xfrm>
          <a:off x="285750" y="512445"/>
          <a:ext cx="4438650" cy="45719"/>
        </a:xfrm>
        <a:prstGeom prst="rect">
          <a:avLst/>
        </a:prstGeom>
        <a:solidFill>
          <a:srgbClr val="EE3124"/>
        </a:solidFill>
        <a:ln>
          <a:solidFill>
            <a:srgbClr val="EE312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6</xdr:col>
      <xdr:colOff>723900</xdr:colOff>
      <xdr:row>7</xdr:row>
      <xdr:rowOff>26670</xdr:rowOff>
    </xdr:from>
    <xdr:to>
      <xdr:col>7</xdr:col>
      <xdr:colOff>990600</xdr:colOff>
      <xdr:row>14</xdr:row>
      <xdr:rowOff>114300</xdr:rowOff>
    </xdr:to>
    <xdr:sp macro="" textlink="">
      <xdr:nvSpPr>
        <xdr:cNvPr id="13" name="Rounded Rectangle 14">
          <a:extLst>
            <a:ext uri="{FF2B5EF4-FFF2-40B4-BE49-F238E27FC236}">
              <a16:creationId xmlns:a16="http://schemas.microsoft.com/office/drawing/2014/main" id="{E27D11BD-5A1B-4660-AFF6-816B9A100B27}"/>
            </a:ext>
          </a:extLst>
        </xdr:cNvPr>
        <xdr:cNvSpPr/>
      </xdr:nvSpPr>
      <xdr:spPr>
        <a:xfrm>
          <a:off x="6800850" y="1398270"/>
          <a:ext cx="1543050" cy="1354455"/>
        </a:xfrm>
        <a:prstGeom prst="roundRect">
          <a:avLst>
            <a:gd name="adj" fmla="val 10985"/>
          </a:avLst>
        </a:prstGeom>
        <a:solidFill>
          <a:srgbClr val="EE312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3200">
            <a:solidFill>
              <a:schemeClr val="lt1"/>
            </a:solidFill>
            <a:latin typeface="+mn-lt"/>
            <a:ea typeface="+mn-ea"/>
            <a:cs typeface="+mn-cs"/>
          </a:endParaRPr>
        </a:p>
      </xdr:txBody>
    </xdr:sp>
    <xdr:clientData/>
  </xdr:twoCellAnchor>
  <xdr:twoCellAnchor>
    <xdr:from>
      <xdr:col>1</xdr:col>
      <xdr:colOff>53340</xdr:colOff>
      <xdr:row>9</xdr:row>
      <xdr:rowOff>30480</xdr:rowOff>
    </xdr:from>
    <xdr:to>
      <xdr:col>1</xdr:col>
      <xdr:colOff>815340</xdr:colOff>
      <xdr:row>10</xdr:row>
      <xdr:rowOff>30480</xdr:rowOff>
    </xdr:to>
    <xdr:sp macro="" textlink="">
      <xdr:nvSpPr>
        <xdr:cNvPr id="14" name="TextBox 13">
          <a:extLst>
            <a:ext uri="{FF2B5EF4-FFF2-40B4-BE49-F238E27FC236}">
              <a16:creationId xmlns:a16="http://schemas.microsoft.com/office/drawing/2014/main" id="{D44AA9BD-F636-36BF-5DA3-DA173AC1DE39}"/>
            </a:ext>
          </a:extLst>
        </xdr:cNvPr>
        <xdr:cNvSpPr txBox="1"/>
      </xdr:nvSpPr>
      <xdr:spPr>
        <a:xfrm>
          <a:off x="381000" y="1783080"/>
          <a:ext cx="7620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a:solidFill>
                <a:schemeClr val="bg1"/>
              </a:solidFill>
            </a:rPr>
            <a:t>Open</a:t>
          </a:r>
        </a:p>
      </xdr:txBody>
    </xdr:sp>
    <xdr:clientData/>
  </xdr:twoCellAnchor>
  <xdr:twoCellAnchor>
    <xdr:from>
      <xdr:col>1</xdr:col>
      <xdr:colOff>53340</xdr:colOff>
      <xdr:row>5</xdr:row>
      <xdr:rowOff>137160</xdr:rowOff>
    </xdr:from>
    <xdr:to>
      <xdr:col>1</xdr:col>
      <xdr:colOff>815340</xdr:colOff>
      <xdr:row>7</xdr:row>
      <xdr:rowOff>99060</xdr:rowOff>
    </xdr:to>
    <xdr:sp macro="" textlink="#REF!">
      <xdr:nvSpPr>
        <xdr:cNvPr id="15" name="TextBox 14">
          <a:extLst>
            <a:ext uri="{FF2B5EF4-FFF2-40B4-BE49-F238E27FC236}">
              <a16:creationId xmlns:a16="http://schemas.microsoft.com/office/drawing/2014/main" id="{759F432D-25DC-4F8B-AADC-1E2EA0C09DCF}"/>
            </a:ext>
          </a:extLst>
        </xdr:cNvPr>
        <xdr:cNvSpPr txBox="1"/>
      </xdr:nvSpPr>
      <xdr:spPr>
        <a:xfrm>
          <a:off x="381000" y="1158240"/>
          <a:ext cx="7620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AU" sz="1400">
            <a:solidFill>
              <a:schemeClr val="bg1"/>
            </a:solidFill>
          </a:endParaRPr>
        </a:p>
      </xdr:txBody>
    </xdr:sp>
    <xdr:clientData/>
  </xdr:twoCellAnchor>
  <xdr:twoCellAnchor>
    <xdr:from>
      <xdr:col>1</xdr:col>
      <xdr:colOff>53340</xdr:colOff>
      <xdr:row>10</xdr:row>
      <xdr:rowOff>76200</xdr:rowOff>
    </xdr:from>
    <xdr:to>
      <xdr:col>1</xdr:col>
      <xdr:colOff>830580</xdr:colOff>
      <xdr:row>12</xdr:row>
      <xdr:rowOff>22860</xdr:rowOff>
    </xdr:to>
    <xdr:sp macro="" textlink="#REF!">
      <xdr:nvSpPr>
        <xdr:cNvPr id="16" name="TextBox 15">
          <a:extLst>
            <a:ext uri="{FF2B5EF4-FFF2-40B4-BE49-F238E27FC236}">
              <a16:creationId xmlns:a16="http://schemas.microsoft.com/office/drawing/2014/main" id="{DF2A6FCD-7050-4B6A-AC04-9EF65D8D1E23}"/>
            </a:ext>
          </a:extLst>
        </xdr:cNvPr>
        <xdr:cNvSpPr txBox="1"/>
      </xdr:nvSpPr>
      <xdr:spPr>
        <a:xfrm>
          <a:off x="381000" y="2011680"/>
          <a:ext cx="7772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E7C132F-6DF2-4B6E-824B-A90FBB6B7DB5}" type="TxLink">
            <a:rPr lang="en-US" sz="3200">
              <a:solidFill>
                <a:schemeClr val="bg1"/>
              </a:solidFill>
              <a:latin typeface="+mn-lt"/>
              <a:ea typeface="+mn-ea"/>
              <a:cs typeface="+mn-cs"/>
            </a:rPr>
            <a:pPr marL="0" indent="0" algn="ctr"/>
            <a:t>25</a:t>
          </a:fld>
          <a:endParaRPr lang="en-AU" sz="3200">
            <a:solidFill>
              <a:schemeClr val="bg1"/>
            </a:solidFill>
            <a:latin typeface="+mn-lt"/>
            <a:ea typeface="+mn-ea"/>
            <a:cs typeface="+mn-cs"/>
          </a:endParaRPr>
        </a:p>
      </xdr:txBody>
    </xdr:sp>
    <xdr:clientData/>
  </xdr:twoCellAnchor>
  <xdr:twoCellAnchor>
    <xdr:from>
      <xdr:col>6</xdr:col>
      <xdr:colOff>822960</xdr:colOff>
      <xdr:row>8</xdr:row>
      <xdr:rowOff>146685</xdr:rowOff>
    </xdr:from>
    <xdr:to>
      <xdr:col>7</xdr:col>
      <xdr:colOff>897241</xdr:colOff>
      <xdr:row>10</xdr:row>
      <xdr:rowOff>49438</xdr:rowOff>
    </xdr:to>
    <xdr:sp macro="" textlink="">
      <xdr:nvSpPr>
        <xdr:cNvPr id="25" name="TextBox 24">
          <a:extLst>
            <a:ext uri="{FF2B5EF4-FFF2-40B4-BE49-F238E27FC236}">
              <a16:creationId xmlns:a16="http://schemas.microsoft.com/office/drawing/2014/main" id="{AD2F93DE-1215-4DC3-AD07-F80CD17511D4}"/>
            </a:ext>
          </a:extLst>
        </xdr:cNvPr>
        <xdr:cNvSpPr txBox="1"/>
      </xdr:nvSpPr>
      <xdr:spPr>
        <a:xfrm>
          <a:off x="6899910" y="1699260"/>
          <a:ext cx="1350631" cy="264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2000">
              <a:solidFill>
                <a:schemeClr val="bg1"/>
              </a:solidFill>
            </a:rPr>
            <a:t>High</a:t>
          </a:r>
          <a:r>
            <a:rPr lang="en-AU" sz="2000" baseline="0">
              <a:solidFill>
                <a:schemeClr val="bg1"/>
              </a:solidFill>
            </a:rPr>
            <a:t> Risk</a:t>
          </a:r>
          <a:endParaRPr lang="en-AU" sz="2000">
            <a:solidFill>
              <a:schemeClr val="bg1"/>
            </a:solidFill>
          </a:endParaRPr>
        </a:p>
      </xdr:txBody>
    </xdr:sp>
    <xdr:clientData/>
  </xdr:twoCellAnchor>
  <xdr:twoCellAnchor>
    <xdr:from>
      <xdr:col>6</xdr:col>
      <xdr:colOff>1051560</xdr:colOff>
      <xdr:row>11</xdr:row>
      <xdr:rowOff>7620</xdr:rowOff>
    </xdr:from>
    <xdr:to>
      <xdr:col>7</xdr:col>
      <xdr:colOff>607791</xdr:colOff>
      <xdr:row>13</xdr:row>
      <xdr:rowOff>34130</xdr:rowOff>
    </xdr:to>
    <xdr:sp macro="" textlink="Calculation_Sheet!F13">
      <xdr:nvSpPr>
        <xdr:cNvPr id="26" name="TextBox 25">
          <a:extLst>
            <a:ext uri="{FF2B5EF4-FFF2-40B4-BE49-F238E27FC236}">
              <a16:creationId xmlns:a16="http://schemas.microsoft.com/office/drawing/2014/main" id="{CA849988-948E-4D7C-BCBB-414EFA4F4DB5}"/>
            </a:ext>
          </a:extLst>
        </xdr:cNvPr>
        <xdr:cNvSpPr txBox="1"/>
      </xdr:nvSpPr>
      <xdr:spPr>
        <a:xfrm>
          <a:off x="7128510" y="2103120"/>
          <a:ext cx="832581" cy="388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172C00-D575-4A08-96D1-2A561B1800FC}" type="TxLink">
            <a:rPr lang="en-US" sz="3200">
              <a:solidFill>
                <a:schemeClr val="bg1"/>
              </a:solidFill>
              <a:latin typeface="+mn-lt"/>
              <a:ea typeface="+mn-ea"/>
              <a:cs typeface="+mn-cs"/>
            </a:rPr>
            <a:pPr marL="0" indent="0" algn="ctr"/>
            <a:t>10</a:t>
          </a:fld>
          <a:endParaRPr lang="en-US" sz="3200">
            <a:solidFill>
              <a:schemeClr val="bg1"/>
            </a:solidFill>
            <a:latin typeface="+mn-lt"/>
            <a:ea typeface="+mn-ea"/>
            <a:cs typeface="+mn-cs"/>
          </a:endParaRPr>
        </a:p>
      </xdr:txBody>
    </xdr:sp>
    <xdr:clientData/>
  </xdr:twoCellAnchor>
  <xdr:twoCellAnchor>
    <xdr:from>
      <xdr:col>1</xdr:col>
      <xdr:colOff>89535</xdr:colOff>
      <xdr:row>15</xdr:row>
      <xdr:rowOff>64770</xdr:rowOff>
    </xdr:from>
    <xdr:to>
      <xdr:col>4</xdr:col>
      <xdr:colOff>504825</xdr:colOff>
      <xdr:row>30</xdr:row>
      <xdr:rowOff>66675</xdr:rowOff>
    </xdr:to>
    <xdr:graphicFrame macro="">
      <xdr:nvGraphicFramePr>
        <xdr:cNvPr id="30" name="Chart 29">
          <a:extLst>
            <a:ext uri="{FF2B5EF4-FFF2-40B4-BE49-F238E27FC236}">
              <a16:creationId xmlns:a16="http://schemas.microsoft.com/office/drawing/2014/main" id="{E2329AD9-647F-4078-8268-01D2EB512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969645</xdr:colOff>
      <xdr:row>14</xdr:row>
      <xdr:rowOff>156209</xdr:rowOff>
    </xdr:from>
    <xdr:to>
      <xdr:col>7</xdr:col>
      <xdr:colOff>666750</xdr:colOff>
      <xdr:row>30</xdr:row>
      <xdr:rowOff>161924</xdr:rowOff>
    </xdr:to>
    <xdr:graphicFrame macro="">
      <xdr:nvGraphicFramePr>
        <xdr:cNvPr id="31" name="Chart 30">
          <a:extLst>
            <a:ext uri="{FF2B5EF4-FFF2-40B4-BE49-F238E27FC236}">
              <a16:creationId xmlns:a16="http://schemas.microsoft.com/office/drawing/2014/main" id="{101AB5A6-C8DF-400C-A9E5-6BE147357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207645</xdr:colOff>
      <xdr:row>3</xdr:row>
      <xdr:rowOff>20955</xdr:rowOff>
    </xdr:from>
    <xdr:to>
      <xdr:col>6</xdr:col>
      <xdr:colOff>657225</xdr:colOff>
      <xdr:row>6</xdr:row>
      <xdr:rowOff>142875</xdr:rowOff>
    </xdr:to>
    <mc:AlternateContent xmlns:mc="http://schemas.openxmlformats.org/markup-compatibility/2006" xmlns:a14="http://schemas.microsoft.com/office/drawing/2010/main">
      <mc:Choice Requires="a14">
        <xdr:graphicFrame macro="">
          <xdr:nvGraphicFramePr>
            <xdr:cNvPr id="32" name="Asset Class 1">
              <a:extLst>
                <a:ext uri="{FF2B5EF4-FFF2-40B4-BE49-F238E27FC236}">
                  <a16:creationId xmlns:a16="http://schemas.microsoft.com/office/drawing/2014/main" id="{2F13C7A9-487C-41BF-B5E9-7744793D865C}"/>
                </a:ext>
              </a:extLst>
            </xdr:cNvPr>
            <xdr:cNvGraphicFramePr/>
          </xdr:nvGraphicFramePr>
          <xdr:xfrm>
            <a:off x="0" y="0"/>
            <a:ext cx="0" cy="0"/>
          </xdr:xfrm>
          <a:graphic>
            <a:graphicData uri="http://schemas.microsoft.com/office/drawing/2010/slicer">
              <sle:slicer xmlns:sle="http://schemas.microsoft.com/office/drawing/2010/slicer" name="Asset Class 1"/>
            </a:graphicData>
          </a:graphic>
        </xdr:graphicFrame>
      </mc:Choice>
      <mc:Fallback xmlns="">
        <xdr:sp macro="" textlink="">
          <xdr:nvSpPr>
            <xdr:cNvPr id="0" name=""/>
            <xdr:cNvSpPr>
              <a:spLocks noTextEdit="1"/>
            </xdr:cNvSpPr>
          </xdr:nvSpPr>
          <xdr:spPr>
            <a:xfrm>
              <a:off x="207645" y="681355"/>
              <a:ext cx="6528647" cy="68072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723900</xdr:colOff>
      <xdr:row>3</xdr:row>
      <xdr:rowOff>28577</xdr:rowOff>
    </xdr:from>
    <xdr:to>
      <xdr:col>7</xdr:col>
      <xdr:colOff>1051560</xdr:colOff>
      <xdr:row>6</xdr:row>
      <xdr:rowOff>125942</xdr:rowOff>
    </xdr:to>
    <mc:AlternateContent xmlns:mc="http://schemas.openxmlformats.org/markup-compatibility/2006" xmlns:a14="http://schemas.microsoft.com/office/drawing/2010/main">
      <mc:Choice Requires="a14">
        <xdr:graphicFrame macro="">
          <xdr:nvGraphicFramePr>
            <xdr:cNvPr id="36" name="Counterparty">
              <a:extLst>
                <a:ext uri="{FF2B5EF4-FFF2-40B4-BE49-F238E27FC236}">
                  <a16:creationId xmlns:a16="http://schemas.microsoft.com/office/drawing/2014/main" id="{2D099474-C9E9-4315-B1FB-4E26BA14A80E}"/>
                </a:ext>
              </a:extLst>
            </xdr:cNvPr>
            <xdr:cNvGraphicFramePr/>
          </xdr:nvGraphicFramePr>
          <xdr:xfrm>
            <a:off x="0" y="0"/>
            <a:ext cx="0" cy="0"/>
          </xdr:xfrm>
          <a:graphic>
            <a:graphicData uri="http://schemas.microsoft.com/office/drawing/2010/slicer">
              <sle:slicer xmlns:sle="http://schemas.microsoft.com/office/drawing/2010/slicer" name="Counterparty"/>
            </a:graphicData>
          </a:graphic>
        </xdr:graphicFrame>
      </mc:Choice>
      <mc:Fallback xmlns="">
        <xdr:sp macro="" textlink="">
          <xdr:nvSpPr>
            <xdr:cNvPr id="0" name=""/>
            <xdr:cNvSpPr>
              <a:spLocks noTextEdit="1"/>
            </xdr:cNvSpPr>
          </xdr:nvSpPr>
          <xdr:spPr>
            <a:xfrm>
              <a:off x="6802967" y="688977"/>
              <a:ext cx="1606126" cy="65616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161925</xdr:colOff>
      <xdr:row>7</xdr:row>
      <xdr:rowOff>0</xdr:rowOff>
    </xdr:from>
    <xdr:to>
      <xdr:col>2</xdr:col>
      <xdr:colOff>133350</xdr:colOff>
      <xdr:row>8</xdr:row>
      <xdr:rowOff>133350</xdr:rowOff>
    </xdr:to>
    <xdr:sp macro="" textlink="">
      <xdr:nvSpPr>
        <xdr:cNvPr id="37" name="TextBox 36">
          <a:extLst>
            <a:ext uri="{FF2B5EF4-FFF2-40B4-BE49-F238E27FC236}">
              <a16:creationId xmlns:a16="http://schemas.microsoft.com/office/drawing/2014/main" id="{909FC4A1-CA12-B7FB-20F2-99CCC402D887}"/>
            </a:ext>
          </a:extLst>
        </xdr:cNvPr>
        <xdr:cNvSpPr txBox="1"/>
      </xdr:nvSpPr>
      <xdr:spPr>
        <a:xfrm>
          <a:off x="161925" y="1371600"/>
          <a:ext cx="11525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t>KPI</a:t>
          </a:r>
        </a:p>
      </xdr:txBody>
    </xdr:sp>
    <xdr:clientData/>
  </xdr:twoCellAnchor>
  <xdr:twoCellAnchor>
    <xdr:from>
      <xdr:col>0</xdr:col>
      <xdr:colOff>209550</xdr:colOff>
      <xdr:row>8</xdr:row>
      <xdr:rowOff>161925</xdr:rowOff>
    </xdr:from>
    <xdr:to>
      <xdr:col>2</xdr:col>
      <xdr:colOff>432435</xdr:colOff>
      <xdr:row>14</xdr:row>
      <xdr:rowOff>66675</xdr:rowOff>
    </xdr:to>
    <xdr:sp macro="" textlink="">
      <xdr:nvSpPr>
        <xdr:cNvPr id="38" name="Rounded Rectangle 14">
          <a:extLst>
            <a:ext uri="{FF2B5EF4-FFF2-40B4-BE49-F238E27FC236}">
              <a16:creationId xmlns:a16="http://schemas.microsoft.com/office/drawing/2014/main" id="{E3C37A7E-884E-425A-A65B-F435C7228398}"/>
            </a:ext>
          </a:extLst>
        </xdr:cNvPr>
        <xdr:cNvSpPr/>
      </xdr:nvSpPr>
      <xdr:spPr>
        <a:xfrm>
          <a:off x="209550" y="1714500"/>
          <a:ext cx="1403985" cy="990600"/>
        </a:xfrm>
        <a:prstGeom prst="roundRect">
          <a:avLst>
            <a:gd name="adj" fmla="val 10985"/>
          </a:avLst>
        </a:prstGeom>
        <a:solidFill>
          <a:srgbClr val="003B7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a:ea typeface="+mn-ea"/>
            <a:cs typeface="+mn-cs"/>
          </a:endParaRPr>
        </a:p>
      </xdr:txBody>
    </xdr:sp>
    <xdr:clientData/>
  </xdr:twoCellAnchor>
  <xdr:twoCellAnchor>
    <xdr:from>
      <xdr:col>1</xdr:col>
      <xdr:colOff>152400</xdr:colOff>
      <xdr:row>9</xdr:row>
      <xdr:rowOff>152400</xdr:rowOff>
    </xdr:from>
    <xdr:to>
      <xdr:col>2</xdr:col>
      <xdr:colOff>57150</xdr:colOff>
      <xdr:row>10</xdr:row>
      <xdr:rowOff>152400</xdr:rowOff>
    </xdr:to>
    <xdr:sp macro="" textlink="">
      <xdr:nvSpPr>
        <xdr:cNvPr id="39" name="TextBox 38">
          <a:extLst>
            <a:ext uri="{FF2B5EF4-FFF2-40B4-BE49-F238E27FC236}">
              <a16:creationId xmlns:a16="http://schemas.microsoft.com/office/drawing/2014/main" id="{28ED6FDD-8BAC-4520-8904-69C2E6E6DF6D}"/>
            </a:ext>
          </a:extLst>
        </xdr:cNvPr>
        <xdr:cNvSpPr txBox="1"/>
      </xdr:nvSpPr>
      <xdr:spPr>
        <a:xfrm>
          <a:off x="476250" y="1885950"/>
          <a:ext cx="76200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a:solidFill>
                <a:schemeClr val="bg1"/>
              </a:solidFill>
            </a:rPr>
            <a:t>Open</a:t>
          </a:r>
        </a:p>
      </xdr:txBody>
    </xdr:sp>
    <xdr:clientData/>
  </xdr:twoCellAnchor>
  <xdr:twoCellAnchor>
    <xdr:from>
      <xdr:col>1</xdr:col>
      <xdr:colOff>142875</xdr:colOff>
      <xdr:row>11</xdr:row>
      <xdr:rowOff>66675</xdr:rowOff>
    </xdr:from>
    <xdr:to>
      <xdr:col>2</xdr:col>
      <xdr:colOff>62865</xdr:colOff>
      <xdr:row>13</xdr:row>
      <xdr:rowOff>13335</xdr:rowOff>
    </xdr:to>
    <xdr:sp macro="" textlink="Calculation_Sheet!F5">
      <xdr:nvSpPr>
        <xdr:cNvPr id="40" name="TextBox 39">
          <a:extLst>
            <a:ext uri="{FF2B5EF4-FFF2-40B4-BE49-F238E27FC236}">
              <a16:creationId xmlns:a16="http://schemas.microsoft.com/office/drawing/2014/main" id="{59F2A57F-D0A5-4D98-B01C-4E0FFC501231}"/>
            </a:ext>
          </a:extLst>
        </xdr:cNvPr>
        <xdr:cNvSpPr txBox="1"/>
      </xdr:nvSpPr>
      <xdr:spPr>
        <a:xfrm>
          <a:off x="466725" y="2162175"/>
          <a:ext cx="77724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C0BB2E9-C853-43EA-8372-34D51C95FABE}" type="TxLink">
            <a:rPr lang="en-US" sz="3200">
              <a:solidFill>
                <a:schemeClr val="bg1"/>
              </a:solidFill>
              <a:latin typeface="+mn-lt"/>
              <a:ea typeface="+mn-ea"/>
              <a:cs typeface="+mn-cs"/>
            </a:rPr>
            <a:pPr marL="0" indent="0" algn="ctr"/>
            <a:t>22</a:t>
          </a:fld>
          <a:endParaRPr lang="en-AU" sz="3200">
            <a:solidFill>
              <a:schemeClr val="bg1"/>
            </a:solidFill>
            <a:latin typeface="+mn-lt"/>
            <a:ea typeface="+mn-ea"/>
            <a:cs typeface="+mn-cs"/>
          </a:endParaRPr>
        </a:p>
      </xdr:txBody>
    </xdr:sp>
    <xdr:clientData/>
  </xdr:twoCellAnchor>
  <xdr:twoCellAnchor>
    <xdr:from>
      <xdr:col>2</xdr:col>
      <xdr:colOff>676275</xdr:colOff>
      <xdr:row>8</xdr:row>
      <xdr:rowOff>171450</xdr:rowOff>
    </xdr:from>
    <xdr:to>
      <xdr:col>3</xdr:col>
      <xdr:colOff>899160</xdr:colOff>
      <xdr:row>14</xdr:row>
      <xdr:rowOff>76200</xdr:rowOff>
    </xdr:to>
    <xdr:sp macro="" textlink="">
      <xdr:nvSpPr>
        <xdr:cNvPr id="112" name="Rounded Rectangle 14">
          <a:extLst>
            <a:ext uri="{FF2B5EF4-FFF2-40B4-BE49-F238E27FC236}">
              <a16:creationId xmlns:a16="http://schemas.microsoft.com/office/drawing/2014/main" id="{92BA5020-22BB-4F70-BF0F-2C7203B95698}"/>
            </a:ext>
          </a:extLst>
        </xdr:cNvPr>
        <xdr:cNvSpPr/>
      </xdr:nvSpPr>
      <xdr:spPr>
        <a:xfrm>
          <a:off x="1857375" y="1724025"/>
          <a:ext cx="1403985" cy="990600"/>
        </a:xfrm>
        <a:prstGeom prst="roundRect">
          <a:avLst>
            <a:gd name="adj" fmla="val 10985"/>
          </a:avLst>
        </a:prstGeom>
        <a:solidFill>
          <a:srgbClr val="003B7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a:ea typeface="+mn-ea"/>
            <a:cs typeface="+mn-cs"/>
          </a:endParaRPr>
        </a:p>
      </xdr:txBody>
    </xdr:sp>
    <xdr:clientData/>
  </xdr:twoCellAnchor>
  <xdr:twoCellAnchor>
    <xdr:from>
      <xdr:col>2</xdr:col>
      <xdr:colOff>942975</xdr:colOff>
      <xdr:row>9</xdr:row>
      <xdr:rowOff>161925</xdr:rowOff>
    </xdr:from>
    <xdr:to>
      <xdr:col>3</xdr:col>
      <xdr:colOff>523875</xdr:colOff>
      <xdr:row>10</xdr:row>
      <xdr:rowOff>161925</xdr:rowOff>
    </xdr:to>
    <xdr:sp macro="" textlink="">
      <xdr:nvSpPr>
        <xdr:cNvPr id="113" name="TextBox 112">
          <a:extLst>
            <a:ext uri="{FF2B5EF4-FFF2-40B4-BE49-F238E27FC236}">
              <a16:creationId xmlns:a16="http://schemas.microsoft.com/office/drawing/2014/main" id="{FE861136-2E51-4043-9B04-47E9DE0C1B98}"/>
            </a:ext>
          </a:extLst>
        </xdr:cNvPr>
        <xdr:cNvSpPr txBox="1"/>
      </xdr:nvSpPr>
      <xdr:spPr>
        <a:xfrm>
          <a:off x="2124075" y="1895475"/>
          <a:ext cx="76200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a:solidFill>
                <a:schemeClr val="bg1"/>
              </a:solidFill>
            </a:rPr>
            <a:t>Pending</a:t>
          </a:r>
        </a:p>
      </xdr:txBody>
    </xdr:sp>
    <xdr:clientData/>
  </xdr:twoCellAnchor>
  <xdr:twoCellAnchor>
    <xdr:from>
      <xdr:col>2</xdr:col>
      <xdr:colOff>933450</xdr:colOff>
      <xdr:row>11</xdr:row>
      <xdr:rowOff>76200</xdr:rowOff>
    </xdr:from>
    <xdr:to>
      <xdr:col>3</xdr:col>
      <xdr:colOff>529590</xdr:colOff>
      <xdr:row>13</xdr:row>
      <xdr:rowOff>22860</xdr:rowOff>
    </xdr:to>
    <xdr:sp macro="" textlink="Calculation_Sheet!F6">
      <xdr:nvSpPr>
        <xdr:cNvPr id="114" name="TextBox 113">
          <a:extLst>
            <a:ext uri="{FF2B5EF4-FFF2-40B4-BE49-F238E27FC236}">
              <a16:creationId xmlns:a16="http://schemas.microsoft.com/office/drawing/2014/main" id="{A08C445B-BA65-4B1E-96ED-0C109959A651}"/>
            </a:ext>
          </a:extLst>
        </xdr:cNvPr>
        <xdr:cNvSpPr txBox="1"/>
      </xdr:nvSpPr>
      <xdr:spPr>
        <a:xfrm>
          <a:off x="2114550" y="2171700"/>
          <a:ext cx="77724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99A177-25E3-4539-B887-15B6CF4BE906}" type="TxLink">
            <a:rPr lang="en-US" sz="3200">
              <a:solidFill>
                <a:schemeClr val="bg1"/>
              </a:solidFill>
              <a:latin typeface="+mn-lt"/>
              <a:ea typeface="+mn-ea"/>
              <a:cs typeface="+mn-cs"/>
            </a:rPr>
            <a:pPr marL="0" indent="0" algn="ctr"/>
            <a:t>11</a:t>
          </a:fld>
          <a:endParaRPr lang="en-AU" sz="3200">
            <a:solidFill>
              <a:schemeClr val="bg1"/>
            </a:solidFill>
            <a:latin typeface="+mn-lt"/>
            <a:ea typeface="+mn-ea"/>
            <a:cs typeface="+mn-cs"/>
          </a:endParaRPr>
        </a:p>
      </xdr:txBody>
    </xdr:sp>
    <xdr:clientData/>
  </xdr:twoCellAnchor>
  <xdr:twoCellAnchor>
    <xdr:from>
      <xdr:col>3</xdr:col>
      <xdr:colOff>1133475</xdr:colOff>
      <xdr:row>8</xdr:row>
      <xdr:rowOff>171450</xdr:rowOff>
    </xdr:from>
    <xdr:to>
      <xdr:col>5</xdr:col>
      <xdr:colOff>127635</xdr:colOff>
      <xdr:row>14</xdr:row>
      <xdr:rowOff>76200</xdr:rowOff>
    </xdr:to>
    <xdr:sp macro="" textlink="">
      <xdr:nvSpPr>
        <xdr:cNvPr id="118" name="Rounded Rectangle 14">
          <a:extLst>
            <a:ext uri="{FF2B5EF4-FFF2-40B4-BE49-F238E27FC236}">
              <a16:creationId xmlns:a16="http://schemas.microsoft.com/office/drawing/2014/main" id="{53DD8308-E4C6-437D-A01E-7104292F6065}"/>
            </a:ext>
          </a:extLst>
        </xdr:cNvPr>
        <xdr:cNvSpPr/>
      </xdr:nvSpPr>
      <xdr:spPr>
        <a:xfrm>
          <a:off x="3495675" y="1724025"/>
          <a:ext cx="1403985" cy="990600"/>
        </a:xfrm>
        <a:prstGeom prst="roundRect">
          <a:avLst>
            <a:gd name="adj" fmla="val 10985"/>
          </a:avLst>
        </a:prstGeom>
        <a:solidFill>
          <a:srgbClr val="003B7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a:ea typeface="+mn-ea"/>
            <a:cs typeface="+mn-cs"/>
          </a:endParaRPr>
        </a:p>
      </xdr:txBody>
    </xdr:sp>
    <xdr:clientData/>
  </xdr:twoCellAnchor>
  <xdr:twoCellAnchor>
    <xdr:from>
      <xdr:col>4</xdr:col>
      <xdr:colOff>104774</xdr:colOff>
      <xdr:row>9</xdr:row>
      <xdr:rowOff>161925</xdr:rowOff>
    </xdr:from>
    <xdr:to>
      <xdr:col>4</xdr:col>
      <xdr:colOff>952499</xdr:colOff>
      <xdr:row>11</xdr:row>
      <xdr:rowOff>0</xdr:rowOff>
    </xdr:to>
    <xdr:sp macro="" textlink="">
      <xdr:nvSpPr>
        <xdr:cNvPr id="119" name="TextBox 118">
          <a:extLst>
            <a:ext uri="{FF2B5EF4-FFF2-40B4-BE49-F238E27FC236}">
              <a16:creationId xmlns:a16="http://schemas.microsoft.com/office/drawing/2014/main" id="{C123C7F0-7061-4996-B7E8-B98CFA8F2CC2}"/>
            </a:ext>
          </a:extLst>
        </xdr:cNvPr>
        <xdr:cNvSpPr txBox="1"/>
      </xdr:nvSpPr>
      <xdr:spPr>
        <a:xfrm>
          <a:off x="3762374" y="1895475"/>
          <a:ext cx="8477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a:solidFill>
                <a:schemeClr val="bg1"/>
              </a:solidFill>
            </a:rPr>
            <a:t>Resolved</a:t>
          </a:r>
        </a:p>
      </xdr:txBody>
    </xdr:sp>
    <xdr:clientData/>
  </xdr:twoCellAnchor>
  <xdr:twoCellAnchor>
    <xdr:from>
      <xdr:col>4</xdr:col>
      <xdr:colOff>133350</xdr:colOff>
      <xdr:row>11</xdr:row>
      <xdr:rowOff>76200</xdr:rowOff>
    </xdr:from>
    <xdr:to>
      <xdr:col>4</xdr:col>
      <xdr:colOff>910590</xdr:colOff>
      <xdr:row>13</xdr:row>
      <xdr:rowOff>22860</xdr:rowOff>
    </xdr:to>
    <xdr:sp macro="" textlink="Calculation_Sheet!F7">
      <xdr:nvSpPr>
        <xdr:cNvPr id="120" name="TextBox 119">
          <a:extLst>
            <a:ext uri="{FF2B5EF4-FFF2-40B4-BE49-F238E27FC236}">
              <a16:creationId xmlns:a16="http://schemas.microsoft.com/office/drawing/2014/main" id="{05023AB4-00A4-413E-8D5A-F5B57F17E627}"/>
            </a:ext>
          </a:extLst>
        </xdr:cNvPr>
        <xdr:cNvSpPr txBox="1"/>
      </xdr:nvSpPr>
      <xdr:spPr>
        <a:xfrm>
          <a:off x="3790950" y="2171700"/>
          <a:ext cx="77724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8B8593-576C-42B6-8AEB-11E7D4DBE6BE}" type="TxLink">
            <a:rPr lang="en-US" sz="3200">
              <a:solidFill>
                <a:schemeClr val="bg1"/>
              </a:solidFill>
              <a:latin typeface="+mn-lt"/>
              <a:ea typeface="+mn-ea"/>
              <a:cs typeface="+mn-cs"/>
            </a:rPr>
            <a:pPr marL="0" indent="0" algn="ctr"/>
            <a:t>17</a:t>
          </a:fld>
          <a:endParaRPr lang="en-AU" sz="3200">
            <a:solidFill>
              <a:schemeClr val="bg1"/>
            </a:solidFill>
            <a:latin typeface="+mn-lt"/>
            <a:ea typeface="+mn-ea"/>
            <a:cs typeface="+mn-cs"/>
          </a:endParaRPr>
        </a:p>
      </xdr:txBody>
    </xdr:sp>
    <xdr:clientData/>
  </xdr:twoCellAnchor>
  <xdr:twoCellAnchor>
    <xdr:from>
      <xdr:col>5</xdr:col>
      <xdr:colOff>361950</xdr:colOff>
      <xdr:row>8</xdr:row>
      <xdr:rowOff>171450</xdr:rowOff>
    </xdr:from>
    <xdr:to>
      <xdr:col>6</xdr:col>
      <xdr:colOff>461010</xdr:colOff>
      <xdr:row>14</xdr:row>
      <xdr:rowOff>76200</xdr:rowOff>
    </xdr:to>
    <xdr:sp macro="" textlink="">
      <xdr:nvSpPr>
        <xdr:cNvPr id="121" name="Rounded Rectangle 14">
          <a:extLst>
            <a:ext uri="{FF2B5EF4-FFF2-40B4-BE49-F238E27FC236}">
              <a16:creationId xmlns:a16="http://schemas.microsoft.com/office/drawing/2014/main" id="{C0B80A62-966E-450F-8372-DF8762A3B407}"/>
            </a:ext>
          </a:extLst>
        </xdr:cNvPr>
        <xdr:cNvSpPr/>
      </xdr:nvSpPr>
      <xdr:spPr>
        <a:xfrm>
          <a:off x="5133975" y="1724025"/>
          <a:ext cx="1403985" cy="990600"/>
        </a:xfrm>
        <a:prstGeom prst="roundRect">
          <a:avLst>
            <a:gd name="adj" fmla="val 10985"/>
          </a:avLst>
        </a:prstGeom>
        <a:solidFill>
          <a:srgbClr val="003B7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a:ea typeface="+mn-ea"/>
            <a:cs typeface="+mn-cs"/>
          </a:endParaRPr>
        </a:p>
      </xdr:txBody>
    </xdr:sp>
    <xdr:clientData/>
  </xdr:twoCellAnchor>
  <xdr:twoCellAnchor>
    <xdr:from>
      <xdr:col>5</xdr:col>
      <xdr:colOff>628650</xdr:colOff>
      <xdr:row>9</xdr:row>
      <xdr:rowOff>161925</xdr:rowOff>
    </xdr:from>
    <xdr:to>
      <xdr:col>6</xdr:col>
      <xdr:colOff>85725</xdr:colOff>
      <xdr:row>10</xdr:row>
      <xdr:rowOff>161925</xdr:rowOff>
    </xdr:to>
    <xdr:sp macro="" textlink="">
      <xdr:nvSpPr>
        <xdr:cNvPr id="122" name="TextBox 121">
          <a:extLst>
            <a:ext uri="{FF2B5EF4-FFF2-40B4-BE49-F238E27FC236}">
              <a16:creationId xmlns:a16="http://schemas.microsoft.com/office/drawing/2014/main" id="{5C0BF26D-D938-4E22-9DA7-E88FBC9FDCFC}"/>
            </a:ext>
          </a:extLst>
        </xdr:cNvPr>
        <xdr:cNvSpPr txBox="1"/>
      </xdr:nvSpPr>
      <xdr:spPr>
        <a:xfrm>
          <a:off x="5400675" y="1895475"/>
          <a:ext cx="76200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400">
              <a:solidFill>
                <a:schemeClr val="bg1"/>
              </a:solidFill>
            </a:rPr>
            <a:t>Total</a:t>
          </a:r>
        </a:p>
      </xdr:txBody>
    </xdr:sp>
    <xdr:clientData/>
  </xdr:twoCellAnchor>
  <xdr:twoCellAnchor>
    <xdr:from>
      <xdr:col>5</xdr:col>
      <xdr:colOff>619125</xdr:colOff>
      <xdr:row>11</xdr:row>
      <xdr:rowOff>76200</xdr:rowOff>
    </xdr:from>
    <xdr:to>
      <xdr:col>6</xdr:col>
      <xdr:colOff>91440</xdr:colOff>
      <xdr:row>13</xdr:row>
      <xdr:rowOff>22860</xdr:rowOff>
    </xdr:to>
    <xdr:sp macro="" textlink="Calculation_Sheet!F8">
      <xdr:nvSpPr>
        <xdr:cNvPr id="123" name="TextBox 122">
          <a:extLst>
            <a:ext uri="{FF2B5EF4-FFF2-40B4-BE49-F238E27FC236}">
              <a16:creationId xmlns:a16="http://schemas.microsoft.com/office/drawing/2014/main" id="{8CEF3284-61CB-48DB-9684-CD4AE217F80A}"/>
            </a:ext>
          </a:extLst>
        </xdr:cNvPr>
        <xdr:cNvSpPr txBox="1"/>
      </xdr:nvSpPr>
      <xdr:spPr>
        <a:xfrm>
          <a:off x="5391150" y="2171700"/>
          <a:ext cx="77724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B91923-D65D-4D48-8A6A-E78CE6C35945}" type="TxLink">
            <a:rPr lang="en-US" sz="3200">
              <a:solidFill>
                <a:schemeClr val="bg1"/>
              </a:solidFill>
              <a:latin typeface="+mn-lt"/>
              <a:ea typeface="+mn-ea"/>
              <a:cs typeface="+mn-cs"/>
            </a:rPr>
            <a:pPr marL="0" indent="0" algn="ctr"/>
            <a:t>50</a:t>
          </a:fld>
          <a:endParaRPr lang="en-US" sz="3200">
            <a:solidFill>
              <a:schemeClr val="bg1"/>
            </a:solidFill>
            <a:latin typeface="+mn-lt"/>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Barratt" refreshedDate="46152.977832523145" createdVersion="8" refreshedVersion="8" minRefreshableVersion="3" recordCount="50" xr:uid="{4D34F542-BDD6-4984-BA70-AC7DB9D4D396}">
  <cacheSource type="worksheet">
    <worksheetSource name="Aged_Risk_Tracker"/>
  </cacheSource>
  <cacheFields count="8">
    <cacheField name="Query ID" numFmtId="0">
      <sharedItems/>
    </cacheField>
    <cacheField name="Date Received" numFmtId="14">
      <sharedItems containsSemiMixedTypes="0" containsNonDate="0" containsDate="1" containsString="0" minDate="2026-05-01T00:00:00" maxDate="2026-05-10T00:00:00"/>
    </cacheField>
    <cacheField name="Counterparty" numFmtId="0">
      <sharedItems containsBlank="1" count="17">
        <s v="BlackRock Global"/>
        <s v="J.P. Morgan"/>
        <s v="Vanguard Group"/>
        <s v="Goldman Sachs"/>
        <s v="HSBC London"/>
        <s v="Morgan Stanley"/>
        <s v="UBS AG"/>
        <s v="Barclays PLC"/>
        <s v="Fidelity Investments"/>
        <s v="State Street"/>
        <s v="BNP Paribas"/>
        <s v="Citadel Securities"/>
        <s v="Deutsche Bank"/>
        <s v="PIMCO"/>
        <s v="Credit Agricole"/>
        <s v="UBS Group"/>
        <m u="1"/>
      </sharedItems>
    </cacheField>
    <cacheField name="Asset Class" numFmtId="0">
      <sharedItems containsBlank="1" count="7">
        <s v="Equities"/>
        <s v="Derivatives"/>
        <s v="Fixed Income"/>
        <s v="Commodities"/>
        <s v="FX"/>
        <s v="Securities"/>
        <m u="1"/>
      </sharedItems>
    </cacheField>
    <cacheField name="Status" numFmtId="0">
      <sharedItems containsBlank="1" count="4">
        <s v="Resolved"/>
        <s v="Open"/>
        <s v="Pending"/>
        <m u="1"/>
      </sharedItems>
    </cacheField>
    <cacheField name="Resolution Date" numFmtId="14">
      <sharedItems containsNonDate="0" containsDate="1" containsString="0" containsBlank="1" minDate="2026-05-03T00:00:00" maxDate="2026-05-10T00:00:00"/>
    </cacheField>
    <cacheField name="Aged Risk (Days)" numFmtId="0">
      <sharedItems containsSemiMixedTypes="0" containsString="0" containsNumber="1" containsInteger="1" minValue="0" maxValue="4"/>
    </cacheField>
    <cacheField name="Risk Bucket" numFmtId="0">
      <sharedItems count="3">
        <s v="Low Risk"/>
        <s v="High Risk"/>
        <s v="Medium Risk"/>
      </sharedItems>
    </cacheField>
  </cacheFields>
  <extLst>
    <ext xmlns:x14="http://schemas.microsoft.com/office/spreadsheetml/2009/9/main" uri="{725AE2AE-9491-48be-B2B4-4EB974FC3084}">
      <x14:pivotCacheDefinition pivotCacheId="1835764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CITI-001"/>
    <d v="2026-05-04T00:00:00"/>
    <x v="0"/>
    <x v="0"/>
    <x v="0"/>
    <d v="2026-05-05T00:00:00"/>
    <n v="1"/>
    <x v="0"/>
  </r>
  <r>
    <s v="CITI-002"/>
    <d v="2026-05-04T00:00:00"/>
    <x v="1"/>
    <x v="1"/>
    <x v="1"/>
    <m/>
    <n v="4"/>
    <x v="1"/>
  </r>
  <r>
    <s v="CITI-003"/>
    <d v="2026-05-06T00:00:00"/>
    <x v="2"/>
    <x v="2"/>
    <x v="2"/>
    <m/>
    <n v="2"/>
    <x v="2"/>
  </r>
  <r>
    <s v="CITI-004"/>
    <d v="2026-05-07T00:00:00"/>
    <x v="3"/>
    <x v="1"/>
    <x v="1"/>
    <m/>
    <n v="1"/>
    <x v="0"/>
  </r>
  <r>
    <s v="CITI-005"/>
    <d v="2026-05-07T00:00:00"/>
    <x v="4"/>
    <x v="3"/>
    <x v="0"/>
    <d v="2026-05-08T00:00:00"/>
    <n v="1"/>
    <x v="0"/>
  </r>
  <r>
    <s v="CITI-006"/>
    <d v="2026-05-08T00:00:00"/>
    <x v="5"/>
    <x v="0"/>
    <x v="1"/>
    <m/>
    <n v="0"/>
    <x v="0"/>
  </r>
  <r>
    <s v="CITI-007"/>
    <d v="2026-05-07T00:00:00"/>
    <x v="6"/>
    <x v="4"/>
    <x v="1"/>
    <m/>
    <n v="1"/>
    <x v="0"/>
  </r>
  <r>
    <s v="CITI-008"/>
    <d v="2026-05-02T00:00:00"/>
    <x v="7"/>
    <x v="2"/>
    <x v="0"/>
    <d v="2026-05-03T00:00:00"/>
    <n v="0"/>
    <x v="0"/>
  </r>
  <r>
    <s v="CITI-009"/>
    <d v="2026-05-02T00:00:00"/>
    <x v="8"/>
    <x v="1"/>
    <x v="2"/>
    <m/>
    <n v="4"/>
    <x v="1"/>
  </r>
  <r>
    <s v="CITI-010"/>
    <d v="2026-05-03T00:00:00"/>
    <x v="9"/>
    <x v="5"/>
    <x v="1"/>
    <m/>
    <n v="4"/>
    <x v="1"/>
  </r>
  <r>
    <s v="CITI-011"/>
    <d v="2026-05-04T00:00:00"/>
    <x v="10"/>
    <x v="3"/>
    <x v="0"/>
    <d v="2026-05-06T00:00:00"/>
    <n v="2"/>
    <x v="2"/>
  </r>
  <r>
    <s v="CITI-012"/>
    <d v="2026-05-05T00:00:00"/>
    <x v="11"/>
    <x v="0"/>
    <x v="1"/>
    <m/>
    <n v="3"/>
    <x v="2"/>
  </r>
  <r>
    <s v="CITI-013"/>
    <d v="2026-05-06T00:00:00"/>
    <x v="12"/>
    <x v="4"/>
    <x v="2"/>
    <m/>
    <n v="2"/>
    <x v="2"/>
  </r>
  <r>
    <s v="CITI-014"/>
    <d v="2026-05-07T00:00:00"/>
    <x v="13"/>
    <x v="2"/>
    <x v="0"/>
    <d v="2026-05-08T00:00:00"/>
    <n v="1"/>
    <x v="0"/>
  </r>
  <r>
    <s v="CITI-015"/>
    <d v="2026-05-08T00:00:00"/>
    <x v="14"/>
    <x v="1"/>
    <x v="1"/>
    <m/>
    <n v="0"/>
    <x v="0"/>
  </r>
  <r>
    <s v="CITI-016"/>
    <d v="2026-05-04T00:00:00"/>
    <x v="1"/>
    <x v="5"/>
    <x v="1"/>
    <m/>
    <n v="4"/>
    <x v="1"/>
  </r>
  <r>
    <s v="CITI-017"/>
    <d v="2026-05-01T00:00:00"/>
    <x v="3"/>
    <x v="2"/>
    <x v="0"/>
    <d v="2026-05-03T00:00:00"/>
    <n v="0"/>
    <x v="0"/>
  </r>
  <r>
    <s v="CITI-018"/>
    <d v="2026-05-02T00:00:00"/>
    <x v="7"/>
    <x v="0"/>
    <x v="1"/>
    <m/>
    <n v="4"/>
    <x v="1"/>
  </r>
  <r>
    <s v="CITI-019"/>
    <d v="2026-05-03T00:00:00"/>
    <x v="5"/>
    <x v="0"/>
    <x v="2"/>
    <m/>
    <n v="4"/>
    <x v="1"/>
  </r>
  <r>
    <s v="CITI-020"/>
    <d v="2026-05-03T00:00:00"/>
    <x v="15"/>
    <x v="1"/>
    <x v="0"/>
    <d v="2026-05-06T00:00:00"/>
    <n v="2"/>
    <x v="2"/>
  </r>
  <r>
    <s v="CITI-021"/>
    <d v="2026-05-04T00:00:00"/>
    <x v="1"/>
    <x v="3"/>
    <x v="0"/>
    <d v="2026-05-04T00:00:00"/>
    <n v="0"/>
    <x v="0"/>
  </r>
  <r>
    <s v="CITI-022"/>
    <d v="2026-05-04T00:00:00"/>
    <x v="0"/>
    <x v="0"/>
    <x v="0"/>
    <d v="2026-05-06T00:00:00"/>
    <n v="2"/>
    <x v="2"/>
  </r>
  <r>
    <s v="CITI-023"/>
    <d v="2026-05-05T00:00:00"/>
    <x v="4"/>
    <x v="2"/>
    <x v="2"/>
    <m/>
    <n v="3"/>
    <x v="2"/>
  </r>
  <r>
    <s v="CITI-024"/>
    <d v="2026-05-05T00:00:00"/>
    <x v="2"/>
    <x v="4"/>
    <x v="1"/>
    <m/>
    <n v="3"/>
    <x v="2"/>
  </r>
  <r>
    <s v="CITI-025"/>
    <d v="2026-05-05T00:00:00"/>
    <x v="7"/>
    <x v="1"/>
    <x v="0"/>
    <d v="2026-05-08T00:00:00"/>
    <n v="3"/>
    <x v="2"/>
  </r>
  <r>
    <s v="CITI-026"/>
    <d v="2026-05-06T00:00:00"/>
    <x v="3"/>
    <x v="3"/>
    <x v="1"/>
    <m/>
    <n v="2"/>
    <x v="2"/>
  </r>
  <r>
    <s v="CITI-027"/>
    <d v="2026-05-06T00:00:00"/>
    <x v="5"/>
    <x v="0"/>
    <x v="2"/>
    <m/>
    <n v="2"/>
    <x v="2"/>
  </r>
  <r>
    <s v="CITI-028"/>
    <d v="2026-05-06T00:00:00"/>
    <x v="15"/>
    <x v="2"/>
    <x v="1"/>
    <m/>
    <n v="2"/>
    <x v="2"/>
  </r>
  <r>
    <s v="CITI-029"/>
    <d v="2026-05-07T00:00:00"/>
    <x v="1"/>
    <x v="4"/>
    <x v="0"/>
    <d v="2026-05-08T00:00:00"/>
    <n v="1"/>
    <x v="0"/>
  </r>
  <r>
    <s v="CITI-030"/>
    <d v="2026-05-07T00:00:00"/>
    <x v="0"/>
    <x v="1"/>
    <x v="1"/>
    <m/>
    <n v="1"/>
    <x v="0"/>
  </r>
  <r>
    <s v="CITI-031"/>
    <d v="2026-05-07T00:00:00"/>
    <x v="4"/>
    <x v="3"/>
    <x v="2"/>
    <m/>
    <n v="1"/>
    <x v="0"/>
  </r>
  <r>
    <s v="CITI-032"/>
    <d v="2026-05-08T00:00:00"/>
    <x v="2"/>
    <x v="0"/>
    <x v="1"/>
    <m/>
    <n v="0"/>
    <x v="0"/>
  </r>
  <r>
    <s v="CITI-033"/>
    <d v="2026-05-08T00:00:00"/>
    <x v="7"/>
    <x v="2"/>
    <x v="0"/>
    <d v="2026-05-09T00:00:00"/>
    <n v="0"/>
    <x v="0"/>
  </r>
  <r>
    <s v="CITI-034"/>
    <d v="2026-05-08T00:00:00"/>
    <x v="3"/>
    <x v="4"/>
    <x v="1"/>
    <m/>
    <n v="0"/>
    <x v="0"/>
  </r>
  <r>
    <s v="CITI-035"/>
    <d v="2026-05-09T00:00:00"/>
    <x v="5"/>
    <x v="1"/>
    <x v="2"/>
    <m/>
    <n v="0"/>
    <x v="0"/>
  </r>
  <r>
    <s v="CITI-036"/>
    <d v="2026-05-09T00:00:00"/>
    <x v="15"/>
    <x v="3"/>
    <x v="1"/>
    <m/>
    <n v="0"/>
    <x v="0"/>
  </r>
  <r>
    <s v="CITI-037"/>
    <d v="2026-05-01T00:00:00"/>
    <x v="1"/>
    <x v="0"/>
    <x v="0"/>
    <d v="2026-05-03T00:00:00"/>
    <n v="0"/>
    <x v="0"/>
  </r>
  <r>
    <s v="CITI-038"/>
    <d v="2026-05-02T00:00:00"/>
    <x v="0"/>
    <x v="2"/>
    <x v="0"/>
    <d v="2026-05-04T00:00:00"/>
    <n v="0"/>
    <x v="0"/>
  </r>
  <r>
    <s v="CITI-039"/>
    <d v="2026-05-02T00:00:00"/>
    <x v="4"/>
    <x v="4"/>
    <x v="2"/>
    <m/>
    <n v="4"/>
    <x v="1"/>
  </r>
  <r>
    <s v="CITI-040"/>
    <d v="2026-05-03T00:00:00"/>
    <x v="2"/>
    <x v="1"/>
    <x v="1"/>
    <m/>
    <n v="4"/>
    <x v="1"/>
  </r>
  <r>
    <s v="CITI-041"/>
    <d v="2026-05-03T00:00:00"/>
    <x v="7"/>
    <x v="3"/>
    <x v="0"/>
    <d v="2026-05-05T00:00:00"/>
    <n v="1"/>
    <x v="0"/>
  </r>
  <r>
    <s v="CITI-042"/>
    <d v="2026-05-04T00:00:00"/>
    <x v="3"/>
    <x v="0"/>
    <x v="1"/>
    <m/>
    <n v="4"/>
    <x v="1"/>
  </r>
  <r>
    <s v="CITI-043"/>
    <d v="2026-05-04T00:00:00"/>
    <x v="5"/>
    <x v="2"/>
    <x v="2"/>
    <m/>
    <n v="4"/>
    <x v="1"/>
  </r>
  <r>
    <s v="CITI-044"/>
    <d v="2026-05-05T00:00:00"/>
    <x v="15"/>
    <x v="4"/>
    <x v="1"/>
    <m/>
    <n v="3"/>
    <x v="2"/>
  </r>
  <r>
    <s v="CITI-045"/>
    <d v="2026-05-05T00:00:00"/>
    <x v="1"/>
    <x v="1"/>
    <x v="0"/>
    <d v="2026-05-08T00:00:00"/>
    <n v="3"/>
    <x v="2"/>
  </r>
  <r>
    <s v="CITI-046"/>
    <d v="2026-05-06T00:00:00"/>
    <x v="0"/>
    <x v="3"/>
    <x v="1"/>
    <m/>
    <n v="2"/>
    <x v="2"/>
  </r>
  <r>
    <s v="CITI-047"/>
    <d v="2026-05-06T00:00:00"/>
    <x v="4"/>
    <x v="0"/>
    <x v="2"/>
    <m/>
    <n v="2"/>
    <x v="2"/>
  </r>
  <r>
    <s v="CITI-048"/>
    <d v="2026-05-07T00:00:00"/>
    <x v="2"/>
    <x v="2"/>
    <x v="1"/>
    <m/>
    <n v="1"/>
    <x v="0"/>
  </r>
  <r>
    <s v="CITI-049"/>
    <d v="2026-05-07T00:00:00"/>
    <x v="7"/>
    <x v="4"/>
    <x v="0"/>
    <d v="2026-05-07T00:00:00"/>
    <n v="0"/>
    <x v="0"/>
  </r>
  <r>
    <s v="CITI-050"/>
    <d v="2026-05-08T00:00:00"/>
    <x v="3"/>
    <x v="1"/>
    <x v="1"/>
    <m/>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CC785D-DE77-45F8-AE94-3ABA84011230}" name="RiskProfi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2:C16" firstHeaderRow="1" firstDataRow="1" firstDataCol="1"/>
  <pivotFields count="8">
    <pivotField dataField="1" showAll="0"/>
    <pivotField numFmtId="14" showAll="0"/>
    <pivotField showAll="0">
      <items count="18">
        <item x="7"/>
        <item x="0"/>
        <item x="10"/>
        <item x="11"/>
        <item x="14"/>
        <item x="12"/>
        <item x="8"/>
        <item x="3"/>
        <item x="4"/>
        <item x="1"/>
        <item x="5"/>
        <item x="13"/>
        <item x="9"/>
        <item x="6"/>
        <item x="15"/>
        <item x="2"/>
        <item m="1" x="16"/>
        <item t="default"/>
      </items>
    </pivotField>
    <pivotField showAll="0">
      <items count="8">
        <item x="3"/>
        <item x="1"/>
        <item x="0"/>
        <item x="2"/>
        <item x="4"/>
        <item x="5"/>
        <item m="1" x="6"/>
        <item t="default"/>
      </items>
    </pivotField>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s>
  <rowFields count="1">
    <field x="7"/>
  </rowFields>
  <rowItems count="4">
    <i>
      <x v="1"/>
    </i>
    <i>
      <x v="2"/>
    </i>
    <i>
      <x/>
    </i>
    <i t="grand">
      <x/>
    </i>
  </rowItems>
  <colItems count="1">
    <i/>
  </colItems>
  <dataFields count="1">
    <dataField name="Count of Query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1B76DF-A35E-48EB-B50C-47FA604F440C}" name="Operational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4:C8" firstHeaderRow="1" firstDataRow="1" firstDataCol="1"/>
  <pivotFields count="8">
    <pivotField dataField="1" showAll="0"/>
    <pivotField numFmtId="14" showAll="0"/>
    <pivotField showAll="0">
      <items count="18">
        <item x="7"/>
        <item x="0"/>
        <item x="10"/>
        <item x="11"/>
        <item x="14"/>
        <item x="12"/>
        <item x="8"/>
        <item x="3"/>
        <item x="4"/>
        <item x="1"/>
        <item x="5"/>
        <item x="13"/>
        <item x="9"/>
        <item x="6"/>
        <item x="15"/>
        <item x="2"/>
        <item m="1" x="16"/>
        <item t="default"/>
      </items>
    </pivotField>
    <pivotField showAll="0">
      <items count="8">
        <item x="3"/>
        <item x="1"/>
        <item x="0"/>
        <item x="2"/>
        <item x="4"/>
        <item x="5"/>
        <item m="1" x="6"/>
        <item t="default"/>
      </items>
    </pivotField>
    <pivotField axis="axisRow" showAll="0" sortType="descending">
      <items count="5">
        <item x="1"/>
        <item x="2"/>
        <item x="0"/>
        <item m="1" x="3"/>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s>
  <rowFields count="1">
    <field x="4"/>
  </rowFields>
  <rowItems count="4">
    <i>
      <x/>
    </i>
    <i>
      <x v="2"/>
    </i>
    <i>
      <x v="1"/>
    </i>
    <i t="grand">
      <x/>
    </i>
  </rowItems>
  <colItems count="1">
    <i/>
  </colItems>
  <dataFields count="1">
    <dataField name="Count of Query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6354BD-6E61-4B1F-A689-E104351D44FE}" name="RiskByAsse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20:F28" firstHeaderRow="1" firstDataRow="2" firstDataCol="1" rowPageCount="1" colPageCount="1"/>
  <pivotFields count="8">
    <pivotField dataField="1" showAll="0"/>
    <pivotField numFmtId="14" showAll="0"/>
    <pivotField showAll="0">
      <items count="18">
        <item x="7"/>
        <item x="0"/>
        <item x="10"/>
        <item x="11"/>
        <item x="14"/>
        <item x="12"/>
        <item x="8"/>
        <item x="3"/>
        <item x="4"/>
        <item x="1"/>
        <item x="5"/>
        <item x="13"/>
        <item x="9"/>
        <item x="6"/>
        <item x="15"/>
        <item x="2"/>
        <item m="1" x="16"/>
        <item t="default"/>
      </items>
    </pivotField>
    <pivotField axis="axisRow" showAll="0">
      <items count="8">
        <item x="3"/>
        <item x="1"/>
        <item x="0"/>
        <item x="2"/>
        <item x="4"/>
        <item x="5"/>
        <item m="1" x="6"/>
        <item t="default"/>
      </items>
    </pivotField>
    <pivotField axis="axisPage" multipleItemSelectionAllowed="1" showAll="0">
      <items count="5">
        <item x="1"/>
        <item x="2"/>
        <item h="1" x="0"/>
        <item m="1" x="3"/>
        <item t="default"/>
      </items>
    </pivotField>
    <pivotField showAll="0"/>
    <pivotField showAll="0"/>
    <pivotField axis="axisCol" showAll="0">
      <items count="4">
        <item x="0"/>
        <item x="2"/>
        <item x="1"/>
        <item t="default"/>
      </items>
    </pivotField>
  </pivotFields>
  <rowFields count="1">
    <field x="3"/>
  </rowFields>
  <rowItems count="7">
    <i>
      <x/>
    </i>
    <i>
      <x v="1"/>
    </i>
    <i>
      <x v="2"/>
    </i>
    <i>
      <x v="3"/>
    </i>
    <i>
      <x v="4"/>
    </i>
    <i>
      <x v="5"/>
    </i>
    <i t="grand">
      <x/>
    </i>
  </rowItems>
  <colFields count="1">
    <field x="7"/>
  </colFields>
  <colItems count="4">
    <i>
      <x/>
    </i>
    <i>
      <x v="1"/>
    </i>
    <i>
      <x v="2"/>
    </i>
    <i t="grand">
      <x/>
    </i>
  </colItems>
  <pageFields count="1">
    <pageField fld="4" hier="-1"/>
  </pageFields>
  <dataFields count="1">
    <dataField name="Count of Query ID" fld="0" subtotal="count" baseField="0" baseItem="0"/>
  </dataFields>
  <chartFormats count="6">
    <chartFormat chart="0" format="0" series="1">
      <pivotArea type="data" outline="0" fieldPosition="0">
        <references count="1">
          <reference field="4294967294" count="1" selected="0">
            <x v="0"/>
          </reference>
        </references>
      </pivotArea>
    </chartFormat>
    <chartFormat chart="11" format="6" series="1">
      <pivotArea type="data" outline="0" fieldPosition="0">
        <references count="2">
          <reference field="4294967294" count="1" selected="0">
            <x v="0"/>
          </reference>
          <reference field="7" count="1" selected="0">
            <x v="0"/>
          </reference>
        </references>
      </pivotArea>
    </chartFormat>
    <chartFormat chart="11" format="7" series="1">
      <pivotArea type="data" outline="0" fieldPosition="0">
        <references count="2">
          <reference field="4294967294" count="1" selected="0">
            <x v="0"/>
          </reference>
          <reference field="7" count="1" selected="0">
            <x v="1"/>
          </reference>
        </references>
      </pivotArea>
    </chartFormat>
    <chartFormat chart="11" format="8" series="1">
      <pivotArea type="data" outline="0" fieldPosition="0">
        <references count="2">
          <reference field="4294967294" count="1" selected="0">
            <x v="0"/>
          </reference>
          <reference field="7" count="1" selected="0">
            <x v="2"/>
          </reference>
        </references>
      </pivotArea>
    </chartFormat>
    <chartFormat chart="11" format="9">
      <pivotArea type="data" outline="0" fieldPosition="0">
        <references count="3">
          <reference field="4294967294" count="1" selected="0">
            <x v="0"/>
          </reference>
          <reference field="3" count="1" selected="0">
            <x v="1"/>
          </reference>
          <reference field="7" count="1" selected="0">
            <x v="2"/>
          </reference>
        </references>
      </pivotArea>
    </chartFormat>
    <chartFormat chart="1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t_Class" xr10:uid="{F4370F4A-0047-45AA-A133-CF9377557E1E}" sourceName="Asset Class">
  <pivotTables>
    <pivotTable tabId="3" name="RiskProfile"/>
    <pivotTable tabId="3" name="RiskByAsset"/>
    <pivotTable tabId="3" name="OperationalStatus"/>
  </pivotTables>
  <data>
    <tabular pivotCacheId="1835764858">
      <items count="7">
        <i x="3" s="1"/>
        <i x="1" s="1"/>
        <i x="0" s="1"/>
        <i x="2" s="1"/>
        <i x="4" s="1"/>
        <i x="5"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erparty" xr10:uid="{EEB95C48-4875-49FD-984C-19A9F066F7CA}" sourceName="Counterparty">
  <pivotTables>
    <pivotTable tabId="3" name="RiskByAsset"/>
    <pivotTable tabId="3" name="OperationalStatus"/>
    <pivotTable tabId="3" name="RiskProfile"/>
  </pivotTables>
  <data>
    <tabular pivotCacheId="1835764858">
      <items count="17">
        <i x="7" s="1"/>
        <i x="0" s="1"/>
        <i x="10" s="1"/>
        <i x="11" s="1"/>
        <i x="14" s="1"/>
        <i x="12" s="1"/>
        <i x="8" s="1"/>
        <i x="3" s="1"/>
        <i x="4" s="1"/>
        <i x="1" s="1"/>
        <i x="5" s="1"/>
        <i x="13" s="1"/>
        <i x="9" s="1"/>
        <i x="6" s="1"/>
        <i x="15" s="1"/>
        <i x="2" s="1"/>
        <i x="1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et Class 1" xr10:uid="{C4A7C10A-178B-4697-BD0F-70E46ADE978A}" cache="Slicer_Asset_Class" caption="Asset Class" columnCount="6" rowHeight="247650"/>
  <slicer name="Counterparty" xr10:uid="{655F2ACB-5731-45D0-8B02-1A3949F424A2}" cache="Slicer_Counterparty" caption="Counterpar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0AEE0E-9DEC-4B7A-816A-E225791AA6CB}" name="Aged_Risk_Tracker" displayName="Aged_Risk_Tracker" ref="B4:I54" totalsRowShown="0" headerRowDxfId="9" headerRowCellStyle="Normal 2">
  <autoFilter ref="B4:I54" xr:uid="{0B0AEE0E-9DEC-4B7A-816A-E225791AA6CB}"/>
  <tableColumns count="8">
    <tableColumn id="1" xr3:uid="{0D026069-A0A9-46FB-BA4F-B7984ABF1CF9}" name="Query ID" dataDxfId="8"/>
    <tableColumn id="2" xr3:uid="{29F1AC76-30CD-438F-B600-62E7BC269B5E}" name="Date Received" dataDxfId="7"/>
    <tableColumn id="3" xr3:uid="{A3FF31CC-1D3E-41AC-BE48-A811370591FC}" name="Counterparty"/>
    <tableColumn id="4" xr3:uid="{3B59C0AB-22F4-4D57-9A7A-0167AA5771BC}" name="Asset Class"/>
    <tableColumn id="5" xr3:uid="{A31B5D87-87E2-4FFA-8D4C-B67B7AFA4F8B}" name="Status" dataDxfId="6"/>
    <tableColumn id="6" xr3:uid="{FBA63DD5-CC6C-45F9-8FA5-B365197C5374}" name="Resolution Date" dataDxfId="5"/>
    <tableColumn id="7" xr3:uid="{470ED075-D6A2-4571-8452-CA130C3C63CD}" name="Aged Risk (Days)" dataDxfId="4">
      <calculatedColumnFormula>MAX(0,IF(Aged_Risk_Tracker[[#This Row],[Status]]="Resolved", IF(ISBLANK(Aged_Risk_Tracker[[#This Row],[Resolution Date]]), 0, NETWORKDAYS(Aged_Risk_Tracker[[#This Row],[Date Received]], Aged_Risk_Tracker[[#This Row],[Resolution Date]]) - 1), NETWORKDAYS(Aged_Risk_Tracker[[#This Row],[Date Received]], DemoDate) - 1))</calculatedColumnFormula>
    </tableColumn>
    <tableColumn id="8" xr3:uid="{FB93631E-D652-4044-BDA1-D8C0A5892D1B}" name="Risk Bucket" dataDxfId="3">
      <calculatedColumnFormula array="1">_xlfn.IFS(Aged_Risk_Tracker[[#This Row],[Aged Risk (Days)]]&lt;=1, "Low Risk", Aged_Risk_Tracker[[#This Row],[Aged Risk (Days)]]&lt;=3, "Medium Risk", Aged_Risk_Tracker[[#This Row],[Aged Risk (Days)]]&gt;=4, "High Risk")</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02575-E177-4B9B-815E-ED45A8E6ECC7}">
  <dimension ref="A1"/>
  <sheetViews>
    <sheetView showGridLines="0" tabSelected="1" zoomScale="80" zoomScaleNormal="80" workbookViewId="0">
      <selection activeCell="I10" sqref="I10"/>
    </sheetView>
  </sheetViews>
  <sheetFormatPr defaultRowHeight="14.4" x14ac:dyDescent="0.3"/>
  <cols>
    <col min="1" max="1" width="4.77734375" customWidth="1"/>
    <col min="2" max="2" width="12.44140625" customWidth="1"/>
    <col min="3" max="3" width="17.21875" customWidth="1"/>
    <col min="4" max="4" width="18.88671875" customWidth="1"/>
    <col min="5" max="5" width="16.21875" customWidth="1"/>
    <col min="6" max="6" width="19" customWidth="1"/>
    <col min="7" max="7" width="18.6640625" customWidth="1"/>
    <col min="8" max="8" width="17" customWidth="1"/>
    <col min="9" max="9" width="14.6640625" customWidth="1"/>
    <col min="10" max="11" width="8.88671875" customWidth="1"/>
  </cols>
  <sheetData>
    <row r="1" ht="22.8" customHeight="1" x14ac:dyDescent="0.3"/>
  </sheetData>
  <phoneticPr fontId="3" type="noConversion"/>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EFED5-84DE-4AA7-9224-28588DEBB81C}">
  <dimension ref="B2:I55"/>
  <sheetViews>
    <sheetView workbookViewId="0">
      <selection activeCell="H5" sqref="H5"/>
    </sheetView>
  </sheetViews>
  <sheetFormatPr defaultRowHeight="14.4" x14ac:dyDescent="0.3"/>
  <cols>
    <col min="2" max="2" width="11.21875" customWidth="1"/>
    <col min="3" max="3" width="18.77734375" customWidth="1"/>
    <col min="4" max="4" width="21.77734375" customWidth="1"/>
    <col min="5" max="5" width="17.5546875" customWidth="1"/>
    <col min="6" max="6" width="12.44140625" customWidth="1"/>
    <col min="7" max="7" width="15" customWidth="1"/>
    <col min="8" max="8" width="18" customWidth="1"/>
    <col min="9" max="9" width="12.6640625" customWidth="1"/>
  </cols>
  <sheetData>
    <row r="2" spans="2:9" ht="25.8" x14ac:dyDescent="0.5">
      <c r="B2" s="7" t="s">
        <v>59</v>
      </c>
    </row>
    <row r="4" spans="2:9" x14ac:dyDescent="0.3">
      <c r="B4" s="1" t="s">
        <v>1</v>
      </c>
      <c r="C4" s="1" t="s">
        <v>17</v>
      </c>
      <c r="D4" s="1" t="s">
        <v>18</v>
      </c>
      <c r="E4" s="1" t="s">
        <v>19</v>
      </c>
      <c r="F4" s="1" t="s">
        <v>0</v>
      </c>
      <c r="G4" s="1" t="s">
        <v>41</v>
      </c>
      <c r="H4" s="1" t="s">
        <v>50</v>
      </c>
      <c r="I4" s="1" t="s">
        <v>49</v>
      </c>
    </row>
    <row r="5" spans="2:9" x14ac:dyDescent="0.3">
      <c r="B5" s="2" t="s">
        <v>2</v>
      </c>
      <c r="C5" s="3">
        <v>46146</v>
      </c>
      <c r="D5" t="s">
        <v>20</v>
      </c>
      <c r="E5" t="s">
        <v>35</v>
      </c>
      <c r="F5" s="5" t="s">
        <v>42</v>
      </c>
      <c r="G5" s="3">
        <v>46147</v>
      </c>
      <c r="H5" s="2">
        <f>MAX(0,IF(Aged_Risk_Tracker[[#This Row],[Status]]="Resolved", IF(ISBLANK(Aged_Risk_Tracker[[#This Row],[Resolution Date]]), 0, NETWORKDAYS(Aged_Risk_Tracker[[#This Row],[Date Received]], Aged_Risk_Tracker[[#This Row],[Resolution Date]]) - 1), NETWORKDAYS(Aged_Risk_Tracker[[#This Row],[Date Received]], DemoDate) - 1))</f>
        <v>1</v>
      </c>
      <c r="I5" t="str" cm="1">
        <f t="array" ref="I5">_xlfn.IFS(Aged_Risk_Tracker[[#This Row],[Aged Risk (Days)]]&lt;=1, "Low Risk", Aged_Risk_Tracker[[#This Row],[Aged Risk (Days)]]&lt;=3, "Medium Risk", Aged_Risk_Tracker[[#This Row],[Aged Risk (Days)]]&gt;=4, "High Risk")</f>
        <v>Low Risk</v>
      </c>
    </row>
    <row r="6" spans="2:9" x14ac:dyDescent="0.3">
      <c r="B6" s="2" t="s">
        <v>3</v>
      </c>
      <c r="C6" s="3">
        <v>46146</v>
      </c>
      <c r="D6" t="s">
        <v>21</v>
      </c>
      <c r="E6" t="s">
        <v>38</v>
      </c>
      <c r="F6" t="s">
        <v>43</v>
      </c>
      <c r="G6" s="3"/>
      <c r="H6" s="2">
        <f>MAX(0,IF(Aged_Risk_Tracker[[#This Row],[Status]]="Resolved", IF(ISBLANK(Aged_Risk_Tracker[[#This Row],[Resolution Date]]), 0, NETWORKDAYS(Aged_Risk_Tracker[[#This Row],[Date Received]], Aged_Risk_Tracker[[#This Row],[Resolution Date]]) - 1), NETWORKDAYS(Aged_Risk_Tracker[[#This Row],[Date Received]], DemoDate) - 1))</f>
        <v>4</v>
      </c>
      <c r="I6" t="str" cm="1">
        <f t="array" ref="I6">_xlfn.IFS(Aged_Risk_Tracker[[#This Row],[Aged Risk (Days)]]&lt;=1, "Low Risk", Aged_Risk_Tracker[[#This Row],[Aged Risk (Days)]]&lt;=3, "Medium Risk", Aged_Risk_Tracker[[#This Row],[Aged Risk (Days)]]&gt;=4, "High Risk")</f>
        <v>High Risk</v>
      </c>
    </row>
    <row r="7" spans="2:9" x14ac:dyDescent="0.3">
      <c r="B7" s="2" t="s">
        <v>4</v>
      </c>
      <c r="C7" s="3">
        <v>46148</v>
      </c>
      <c r="D7" t="s">
        <v>22</v>
      </c>
      <c r="E7" t="s">
        <v>37</v>
      </c>
      <c r="F7" t="s">
        <v>44</v>
      </c>
      <c r="G7" s="3"/>
      <c r="H7" s="2">
        <f>MAX(0,IF(Aged_Risk_Tracker[[#This Row],[Status]]="Resolved", IF(ISBLANK(Aged_Risk_Tracker[[#This Row],[Resolution Date]]), 0, NETWORKDAYS(Aged_Risk_Tracker[[#This Row],[Date Received]], Aged_Risk_Tracker[[#This Row],[Resolution Date]]) - 1), NETWORKDAYS(Aged_Risk_Tracker[[#This Row],[Date Received]], DemoDate) - 1))</f>
        <v>2</v>
      </c>
      <c r="I7" t="str" cm="1">
        <f t="array" ref="I7">_xlfn.IFS(Aged_Risk_Tracker[[#This Row],[Aged Risk (Days)]]&lt;=1, "Low Risk", Aged_Risk_Tracker[[#This Row],[Aged Risk (Days)]]&lt;=3, "Medium Risk", Aged_Risk_Tracker[[#This Row],[Aged Risk (Days)]]&gt;=4, "High Risk")</f>
        <v>Medium Risk</v>
      </c>
    </row>
    <row r="8" spans="2:9" x14ac:dyDescent="0.3">
      <c r="B8" s="2" t="s">
        <v>5</v>
      </c>
      <c r="C8" s="3">
        <v>46149</v>
      </c>
      <c r="D8" t="s">
        <v>23</v>
      </c>
      <c r="E8" t="s">
        <v>38</v>
      </c>
      <c r="F8" t="s">
        <v>43</v>
      </c>
      <c r="G8" s="3"/>
      <c r="H8" s="2">
        <f>MAX(0,IF(Aged_Risk_Tracker[[#This Row],[Status]]="Resolved", IF(ISBLANK(Aged_Risk_Tracker[[#This Row],[Resolution Date]]), 0, NETWORKDAYS(Aged_Risk_Tracker[[#This Row],[Date Received]], Aged_Risk_Tracker[[#This Row],[Resolution Date]]) - 1), NETWORKDAYS(Aged_Risk_Tracker[[#This Row],[Date Received]], DemoDate) - 1))</f>
        <v>1</v>
      </c>
      <c r="I8" t="str" cm="1">
        <f t="array" ref="I8">_xlfn.IFS(Aged_Risk_Tracker[[#This Row],[Aged Risk (Days)]]&lt;=1, "Low Risk", Aged_Risk_Tracker[[#This Row],[Aged Risk (Days)]]&lt;=3, "Medium Risk", Aged_Risk_Tracker[[#This Row],[Aged Risk (Days)]]&gt;=4, "High Risk")</f>
        <v>Low Risk</v>
      </c>
    </row>
    <row r="9" spans="2:9" x14ac:dyDescent="0.3">
      <c r="B9" s="2" t="s">
        <v>6</v>
      </c>
      <c r="C9" s="3">
        <v>46149</v>
      </c>
      <c r="D9" t="s">
        <v>24</v>
      </c>
      <c r="E9" t="s">
        <v>39</v>
      </c>
      <c r="F9" t="s">
        <v>42</v>
      </c>
      <c r="G9" s="3">
        <v>46150</v>
      </c>
      <c r="H9" s="2">
        <f>MAX(0,IF(Aged_Risk_Tracker[[#This Row],[Status]]="Resolved", IF(ISBLANK(Aged_Risk_Tracker[[#This Row],[Resolution Date]]), 0, NETWORKDAYS(Aged_Risk_Tracker[[#This Row],[Date Received]], Aged_Risk_Tracker[[#This Row],[Resolution Date]]) - 1), NETWORKDAYS(Aged_Risk_Tracker[[#This Row],[Date Received]], DemoDate) - 1))</f>
        <v>1</v>
      </c>
      <c r="I9" t="str" cm="1">
        <f t="array" ref="I9">_xlfn.IFS(Aged_Risk_Tracker[[#This Row],[Aged Risk (Days)]]&lt;=1, "Low Risk", Aged_Risk_Tracker[[#This Row],[Aged Risk (Days)]]&lt;=3, "Medium Risk", Aged_Risk_Tracker[[#This Row],[Aged Risk (Days)]]&gt;=4, "High Risk")</f>
        <v>Low Risk</v>
      </c>
    </row>
    <row r="10" spans="2:9" x14ac:dyDescent="0.3">
      <c r="B10" s="2" t="s">
        <v>7</v>
      </c>
      <c r="C10" s="3">
        <v>46150</v>
      </c>
      <c r="D10" t="s">
        <v>25</v>
      </c>
      <c r="E10" t="s">
        <v>35</v>
      </c>
      <c r="F10" t="s">
        <v>43</v>
      </c>
      <c r="G10" s="3"/>
      <c r="H10" s="2">
        <f>MAX(0,IF(Aged_Risk_Tracker[[#This Row],[Status]]="Resolved", IF(ISBLANK(Aged_Risk_Tracker[[#This Row],[Resolution Date]]), 0, NETWORKDAYS(Aged_Risk_Tracker[[#This Row],[Date Received]], Aged_Risk_Tracker[[#This Row],[Resolution Date]]) - 1), NETWORKDAYS(Aged_Risk_Tracker[[#This Row],[Date Received]], DemoDate) - 1))</f>
        <v>0</v>
      </c>
      <c r="I10" t="str" cm="1">
        <f t="array" ref="I10">_xlfn.IFS(Aged_Risk_Tracker[[#This Row],[Aged Risk (Days)]]&lt;=1, "Low Risk", Aged_Risk_Tracker[[#This Row],[Aged Risk (Days)]]&lt;=3, "Medium Risk", Aged_Risk_Tracker[[#This Row],[Aged Risk (Days)]]&gt;=4, "High Risk")</f>
        <v>Low Risk</v>
      </c>
    </row>
    <row r="11" spans="2:9" x14ac:dyDescent="0.3">
      <c r="B11" s="2" t="s">
        <v>8</v>
      </c>
      <c r="C11" s="3">
        <v>46149</v>
      </c>
      <c r="D11" t="s">
        <v>26</v>
      </c>
      <c r="E11" t="s">
        <v>36</v>
      </c>
      <c r="F11" t="s">
        <v>43</v>
      </c>
      <c r="G11" s="3"/>
      <c r="H11" s="2">
        <f>MAX(0,IF(Aged_Risk_Tracker[[#This Row],[Status]]="Resolved", IF(ISBLANK(Aged_Risk_Tracker[[#This Row],[Resolution Date]]), 0, NETWORKDAYS(Aged_Risk_Tracker[[#This Row],[Date Received]], Aged_Risk_Tracker[[#This Row],[Resolution Date]]) - 1), NETWORKDAYS(Aged_Risk_Tracker[[#This Row],[Date Received]], DemoDate) - 1))</f>
        <v>1</v>
      </c>
      <c r="I11" t="str" cm="1">
        <f t="array" ref="I11">_xlfn.IFS(Aged_Risk_Tracker[[#This Row],[Aged Risk (Days)]]&lt;=1, "Low Risk", Aged_Risk_Tracker[[#This Row],[Aged Risk (Days)]]&lt;=3, "Medium Risk", Aged_Risk_Tracker[[#This Row],[Aged Risk (Days)]]&gt;=4, "High Risk")</f>
        <v>Low Risk</v>
      </c>
    </row>
    <row r="12" spans="2:9" x14ac:dyDescent="0.3">
      <c r="B12" s="2" t="s">
        <v>9</v>
      </c>
      <c r="C12" s="3">
        <v>46144</v>
      </c>
      <c r="D12" t="s">
        <v>27</v>
      </c>
      <c r="E12" t="s">
        <v>37</v>
      </c>
      <c r="F12" t="s">
        <v>42</v>
      </c>
      <c r="G12" s="3">
        <v>46145</v>
      </c>
      <c r="H12" s="2">
        <f>MAX(0,IF(Aged_Risk_Tracker[[#This Row],[Status]]="Resolved", IF(ISBLANK(Aged_Risk_Tracker[[#This Row],[Resolution Date]]), 0, NETWORKDAYS(Aged_Risk_Tracker[[#This Row],[Date Received]], Aged_Risk_Tracker[[#This Row],[Resolution Date]]) - 1), NETWORKDAYS(Aged_Risk_Tracker[[#This Row],[Date Received]], DemoDate) - 1))</f>
        <v>0</v>
      </c>
      <c r="I12" t="str" cm="1">
        <f t="array" ref="I12">_xlfn.IFS(Aged_Risk_Tracker[[#This Row],[Aged Risk (Days)]]&lt;=1, "Low Risk", Aged_Risk_Tracker[[#This Row],[Aged Risk (Days)]]&lt;=3, "Medium Risk", Aged_Risk_Tracker[[#This Row],[Aged Risk (Days)]]&gt;=4, "High Risk")</f>
        <v>Low Risk</v>
      </c>
    </row>
    <row r="13" spans="2:9" x14ac:dyDescent="0.3">
      <c r="B13" s="2" t="s">
        <v>10</v>
      </c>
      <c r="C13" s="3">
        <v>46144</v>
      </c>
      <c r="D13" t="s">
        <v>28</v>
      </c>
      <c r="E13" t="s">
        <v>38</v>
      </c>
      <c r="F13" t="s">
        <v>44</v>
      </c>
      <c r="G13" s="3"/>
      <c r="H13" s="2">
        <f>MAX(0,IF(Aged_Risk_Tracker[[#This Row],[Status]]="Resolved", IF(ISBLANK(Aged_Risk_Tracker[[#This Row],[Resolution Date]]), 0, NETWORKDAYS(Aged_Risk_Tracker[[#This Row],[Date Received]], Aged_Risk_Tracker[[#This Row],[Resolution Date]]) - 1), NETWORKDAYS(Aged_Risk_Tracker[[#This Row],[Date Received]], DemoDate) - 1))</f>
        <v>4</v>
      </c>
      <c r="I13" t="str" cm="1">
        <f t="array" ref="I13">_xlfn.IFS(Aged_Risk_Tracker[[#This Row],[Aged Risk (Days)]]&lt;=1, "Low Risk", Aged_Risk_Tracker[[#This Row],[Aged Risk (Days)]]&lt;=3, "Medium Risk", Aged_Risk_Tracker[[#This Row],[Aged Risk (Days)]]&gt;=4, "High Risk")</f>
        <v>High Risk</v>
      </c>
    </row>
    <row r="14" spans="2:9" x14ac:dyDescent="0.3">
      <c r="B14" s="2" t="s">
        <v>11</v>
      </c>
      <c r="C14" s="3">
        <v>46145</v>
      </c>
      <c r="D14" t="s">
        <v>29</v>
      </c>
      <c r="E14" t="s">
        <v>40</v>
      </c>
      <c r="F14" t="s">
        <v>43</v>
      </c>
      <c r="G14" s="3"/>
      <c r="H14" s="2">
        <f>MAX(0,IF(Aged_Risk_Tracker[[#This Row],[Status]]="Resolved", IF(ISBLANK(Aged_Risk_Tracker[[#This Row],[Resolution Date]]), 0, NETWORKDAYS(Aged_Risk_Tracker[[#This Row],[Date Received]], Aged_Risk_Tracker[[#This Row],[Resolution Date]]) - 1), NETWORKDAYS(Aged_Risk_Tracker[[#This Row],[Date Received]], DemoDate) - 1))</f>
        <v>4</v>
      </c>
      <c r="I14" t="str" cm="1">
        <f t="array" ref="I14">_xlfn.IFS(Aged_Risk_Tracker[[#This Row],[Aged Risk (Days)]]&lt;=1, "Low Risk", Aged_Risk_Tracker[[#This Row],[Aged Risk (Days)]]&lt;=3, "Medium Risk", Aged_Risk_Tracker[[#This Row],[Aged Risk (Days)]]&gt;=4, "High Risk")</f>
        <v>High Risk</v>
      </c>
    </row>
    <row r="15" spans="2:9" x14ac:dyDescent="0.3">
      <c r="B15" s="2" t="s">
        <v>12</v>
      </c>
      <c r="C15" s="3">
        <v>46146</v>
      </c>
      <c r="D15" t="s">
        <v>30</v>
      </c>
      <c r="E15" t="s">
        <v>39</v>
      </c>
      <c r="F15" t="s">
        <v>42</v>
      </c>
      <c r="G15" s="3">
        <v>46148</v>
      </c>
      <c r="H15" s="2">
        <f>MAX(0,IF(Aged_Risk_Tracker[[#This Row],[Status]]="Resolved", IF(ISBLANK(Aged_Risk_Tracker[[#This Row],[Resolution Date]]), 0, NETWORKDAYS(Aged_Risk_Tracker[[#This Row],[Date Received]], Aged_Risk_Tracker[[#This Row],[Resolution Date]]) - 1), NETWORKDAYS(Aged_Risk_Tracker[[#This Row],[Date Received]], DemoDate) - 1))</f>
        <v>2</v>
      </c>
      <c r="I15" t="str" cm="1">
        <f t="array" ref="I15">_xlfn.IFS(Aged_Risk_Tracker[[#This Row],[Aged Risk (Days)]]&lt;=1, "Low Risk", Aged_Risk_Tracker[[#This Row],[Aged Risk (Days)]]&lt;=3, "Medium Risk", Aged_Risk_Tracker[[#This Row],[Aged Risk (Days)]]&gt;=4, "High Risk")</f>
        <v>Medium Risk</v>
      </c>
    </row>
    <row r="16" spans="2:9" x14ac:dyDescent="0.3">
      <c r="B16" s="2" t="s">
        <v>13</v>
      </c>
      <c r="C16" s="3">
        <v>46147</v>
      </c>
      <c r="D16" t="s">
        <v>31</v>
      </c>
      <c r="E16" t="s">
        <v>35</v>
      </c>
      <c r="F16" t="s">
        <v>43</v>
      </c>
      <c r="G16" s="3"/>
      <c r="H16" s="2">
        <f>MAX(0,IF(Aged_Risk_Tracker[[#This Row],[Status]]="Resolved", IF(ISBLANK(Aged_Risk_Tracker[[#This Row],[Resolution Date]]), 0, NETWORKDAYS(Aged_Risk_Tracker[[#This Row],[Date Received]], Aged_Risk_Tracker[[#This Row],[Resolution Date]]) - 1), NETWORKDAYS(Aged_Risk_Tracker[[#This Row],[Date Received]], DemoDate) - 1))</f>
        <v>3</v>
      </c>
      <c r="I16" t="str" cm="1">
        <f t="array" ref="I16">_xlfn.IFS(Aged_Risk_Tracker[[#This Row],[Aged Risk (Days)]]&lt;=1, "Low Risk", Aged_Risk_Tracker[[#This Row],[Aged Risk (Days)]]&lt;=3, "Medium Risk", Aged_Risk_Tracker[[#This Row],[Aged Risk (Days)]]&gt;=4, "High Risk")</f>
        <v>Medium Risk</v>
      </c>
    </row>
    <row r="17" spans="2:9" x14ac:dyDescent="0.3">
      <c r="B17" s="2" t="s">
        <v>14</v>
      </c>
      <c r="C17" s="3">
        <v>46148</v>
      </c>
      <c r="D17" t="s">
        <v>32</v>
      </c>
      <c r="E17" t="s">
        <v>36</v>
      </c>
      <c r="F17" t="s">
        <v>44</v>
      </c>
      <c r="G17" s="3"/>
      <c r="H17" s="2">
        <f>MAX(0,IF(Aged_Risk_Tracker[[#This Row],[Status]]="Resolved", IF(ISBLANK(Aged_Risk_Tracker[[#This Row],[Resolution Date]]), 0, NETWORKDAYS(Aged_Risk_Tracker[[#This Row],[Date Received]], Aged_Risk_Tracker[[#This Row],[Resolution Date]]) - 1), NETWORKDAYS(Aged_Risk_Tracker[[#This Row],[Date Received]], DemoDate) - 1))</f>
        <v>2</v>
      </c>
      <c r="I17" t="str" cm="1">
        <f t="array" ref="I17">_xlfn.IFS(Aged_Risk_Tracker[[#This Row],[Aged Risk (Days)]]&lt;=1, "Low Risk", Aged_Risk_Tracker[[#This Row],[Aged Risk (Days)]]&lt;=3, "Medium Risk", Aged_Risk_Tracker[[#This Row],[Aged Risk (Days)]]&gt;=4, "High Risk")</f>
        <v>Medium Risk</v>
      </c>
    </row>
    <row r="18" spans="2:9" x14ac:dyDescent="0.3">
      <c r="B18" s="2" t="s">
        <v>15</v>
      </c>
      <c r="C18" s="3">
        <v>46149</v>
      </c>
      <c r="D18" t="s">
        <v>33</v>
      </c>
      <c r="E18" t="s">
        <v>37</v>
      </c>
      <c r="F18" t="s">
        <v>42</v>
      </c>
      <c r="G18" s="3">
        <v>46150</v>
      </c>
      <c r="H18" s="2">
        <f>MAX(0,IF(Aged_Risk_Tracker[[#This Row],[Status]]="Resolved", IF(ISBLANK(Aged_Risk_Tracker[[#This Row],[Resolution Date]]), 0, NETWORKDAYS(Aged_Risk_Tracker[[#This Row],[Date Received]], Aged_Risk_Tracker[[#This Row],[Resolution Date]]) - 1), NETWORKDAYS(Aged_Risk_Tracker[[#This Row],[Date Received]], DemoDate) - 1))</f>
        <v>1</v>
      </c>
      <c r="I18" t="str" cm="1">
        <f t="array" ref="I18">_xlfn.IFS(Aged_Risk_Tracker[[#This Row],[Aged Risk (Days)]]&lt;=1, "Low Risk", Aged_Risk_Tracker[[#This Row],[Aged Risk (Days)]]&lt;=3, "Medium Risk", Aged_Risk_Tracker[[#This Row],[Aged Risk (Days)]]&gt;=4, "High Risk")</f>
        <v>Low Risk</v>
      </c>
    </row>
    <row r="19" spans="2:9" x14ac:dyDescent="0.3">
      <c r="B19" s="2" t="s">
        <v>16</v>
      </c>
      <c r="C19" s="3">
        <v>46150</v>
      </c>
      <c r="D19" t="s">
        <v>34</v>
      </c>
      <c r="E19" t="s">
        <v>38</v>
      </c>
      <c r="F19" t="s">
        <v>43</v>
      </c>
      <c r="G19" s="3"/>
      <c r="H19" s="2">
        <f>MAX(0,IF(Aged_Risk_Tracker[[#This Row],[Status]]="Resolved", IF(ISBLANK(Aged_Risk_Tracker[[#This Row],[Resolution Date]]), 0, NETWORKDAYS(Aged_Risk_Tracker[[#This Row],[Date Received]], Aged_Risk_Tracker[[#This Row],[Resolution Date]]) - 1), NETWORKDAYS(Aged_Risk_Tracker[[#This Row],[Date Received]], DemoDate) - 1))</f>
        <v>0</v>
      </c>
      <c r="I19" t="str" cm="1">
        <f t="array" ref="I19">_xlfn.IFS(Aged_Risk_Tracker[[#This Row],[Aged Risk (Days)]]&lt;=1, "Low Risk", Aged_Risk_Tracker[[#This Row],[Aged Risk (Days)]]&lt;=3, "Medium Risk", Aged_Risk_Tracker[[#This Row],[Aged Risk (Days)]]&gt;=4, "High Risk")</f>
        <v>Low Risk</v>
      </c>
    </row>
    <row r="20" spans="2:9" x14ac:dyDescent="0.3">
      <c r="B20" s="2" t="s">
        <v>58</v>
      </c>
      <c r="C20" s="3">
        <v>46146</v>
      </c>
      <c r="D20" t="s">
        <v>21</v>
      </c>
      <c r="E20" t="s">
        <v>40</v>
      </c>
      <c r="F20" t="s">
        <v>43</v>
      </c>
      <c r="G20" s="3"/>
      <c r="H20" s="2">
        <f>MAX(0,IF(Aged_Risk_Tracker[[#This Row],[Status]]="Resolved", IF(ISBLANK(Aged_Risk_Tracker[[#This Row],[Resolution Date]]), 0, NETWORKDAYS(Aged_Risk_Tracker[[#This Row],[Date Received]], Aged_Risk_Tracker[[#This Row],[Resolution Date]]) - 1), NETWORKDAYS(Aged_Risk_Tracker[[#This Row],[Date Received]], DemoDate) - 1))</f>
        <v>4</v>
      </c>
      <c r="I20" t="str" cm="1">
        <f t="array" ref="I20">_xlfn.IFS(Aged_Risk_Tracker[[#This Row],[Aged Risk (Days)]]&lt;=1, "Low Risk", Aged_Risk_Tracker[[#This Row],[Aged Risk (Days)]]&lt;=3, "Medium Risk", Aged_Risk_Tracker[[#This Row],[Aged Risk (Days)]]&gt;=4, "High Risk")</f>
        <v>High Risk</v>
      </c>
    </row>
    <row r="21" spans="2:9" x14ac:dyDescent="0.3">
      <c r="B21" s="2" t="s">
        <v>60</v>
      </c>
      <c r="C21" s="3">
        <v>46143</v>
      </c>
      <c r="D21" t="s">
        <v>23</v>
      </c>
      <c r="E21" t="s">
        <v>37</v>
      </c>
      <c r="F21" t="s">
        <v>42</v>
      </c>
      <c r="G21" s="3">
        <v>46145</v>
      </c>
      <c r="H21" s="2">
        <f>MAX(0,IF(Aged_Risk_Tracker[[#This Row],[Status]]="Resolved", IF(ISBLANK(Aged_Risk_Tracker[[#This Row],[Resolution Date]]), 0, NETWORKDAYS(Aged_Risk_Tracker[[#This Row],[Date Received]], Aged_Risk_Tracker[[#This Row],[Resolution Date]]) - 1), NETWORKDAYS(Aged_Risk_Tracker[[#This Row],[Date Received]], DemoDate) - 1))</f>
        <v>0</v>
      </c>
      <c r="I21" t="str" cm="1">
        <f t="array" ref="I21">_xlfn.IFS(Aged_Risk_Tracker[[#This Row],[Aged Risk (Days)]]&lt;=1, "Low Risk", Aged_Risk_Tracker[[#This Row],[Aged Risk (Days)]]&lt;=3, "Medium Risk", Aged_Risk_Tracker[[#This Row],[Aged Risk (Days)]]&gt;=4, "High Risk")</f>
        <v>Low Risk</v>
      </c>
    </row>
    <row r="22" spans="2:9" x14ac:dyDescent="0.3">
      <c r="B22" s="2" t="s">
        <v>61</v>
      </c>
      <c r="C22" s="3">
        <v>46144</v>
      </c>
      <c r="D22" t="s">
        <v>27</v>
      </c>
      <c r="E22" t="s">
        <v>35</v>
      </c>
      <c r="F22" t="s">
        <v>43</v>
      </c>
      <c r="G22" s="3"/>
      <c r="H22" s="2">
        <f>MAX(0,IF(Aged_Risk_Tracker[[#This Row],[Status]]="Resolved", IF(ISBLANK(Aged_Risk_Tracker[[#This Row],[Resolution Date]]), 0, NETWORKDAYS(Aged_Risk_Tracker[[#This Row],[Date Received]], Aged_Risk_Tracker[[#This Row],[Resolution Date]]) - 1), NETWORKDAYS(Aged_Risk_Tracker[[#This Row],[Date Received]], DemoDate) - 1))</f>
        <v>4</v>
      </c>
      <c r="I22" t="str" cm="1">
        <f t="array" ref="I22">_xlfn.IFS(Aged_Risk_Tracker[[#This Row],[Aged Risk (Days)]]&lt;=1, "Low Risk", Aged_Risk_Tracker[[#This Row],[Aged Risk (Days)]]&lt;=3, "Medium Risk", Aged_Risk_Tracker[[#This Row],[Aged Risk (Days)]]&gt;=4, "High Risk")</f>
        <v>High Risk</v>
      </c>
    </row>
    <row r="23" spans="2:9" x14ac:dyDescent="0.3">
      <c r="B23" s="2" t="s">
        <v>65</v>
      </c>
      <c r="C23" s="3">
        <v>46145</v>
      </c>
      <c r="D23" t="s">
        <v>25</v>
      </c>
      <c r="E23" t="s">
        <v>35</v>
      </c>
      <c r="F23" t="s">
        <v>44</v>
      </c>
      <c r="G23" s="3"/>
      <c r="H23" s="2">
        <f>MAX(0,IF(Aged_Risk_Tracker[[#This Row],[Status]]="Resolved", IF(ISBLANK(Aged_Risk_Tracker[[#This Row],[Resolution Date]]), 0, NETWORKDAYS(Aged_Risk_Tracker[[#This Row],[Date Received]], Aged_Risk_Tracker[[#This Row],[Resolution Date]]) - 1), NETWORKDAYS(Aged_Risk_Tracker[[#This Row],[Date Received]], DemoDate) - 1))</f>
        <v>4</v>
      </c>
      <c r="I23" t="str" cm="1">
        <f t="array" ref="I23">_xlfn.IFS(Aged_Risk_Tracker[[#This Row],[Aged Risk (Days)]]&lt;=1, "Low Risk", Aged_Risk_Tracker[[#This Row],[Aged Risk (Days)]]&lt;=3, "Medium Risk", Aged_Risk_Tracker[[#This Row],[Aged Risk (Days)]]&gt;=4, "High Risk")</f>
        <v>High Risk</v>
      </c>
    </row>
    <row r="24" spans="2:9" x14ac:dyDescent="0.3">
      <c r="B24" s="2" t="s">
        <v>66</v>
      </c>
      <c r="C24" s="3">
        <v>46145</v>
      </c>
      <c r="D24" t="s">
        <v>97</v>
      </c>
      <c r="E24" t="s">
        <v>38</v>
      </c>
      <c r="F24" t="s">
        <v>42</v>
      </c>
      <c r="G24" s="3">
        <v>46148</v>
      </c>
      <c r="H24" s="2">
        <f>MAX(0,IF(Aged_Risk_Tracker[[#This Row],[Status]]="Resolved", IF(ISBLANK(Aged_Risk_Tracker[[#This Row],[Resolution Date]]), 0, NETWORKDAYS(Aged_Risk_Tracker[[#This Row],[Date Received]], Aged_Risk_Tracker[[#This Row],[Resolution Date]]) - 1), NETWORKDAYS(Aged_Risk_Tracker[[#This Row],[Date Received]], DemoDate) - 1))</f>
        <v>2</v>
      </c>
      <c r="I24" t="str" cm="1">
        <f t="array" ref="I24">_xlfn.IFS(Aged_Risk_Tracker[[#This Row],[Aged Risk (Days)]]&lt;=1, "Low Risk", Aged_Risk_Tracker[[#This Row],[Aged Risk (Days)]]&lt;=3, "Medium Risk", Aged_Risk_Tracker[[#This Row],[Aged Risk (Days)]]&gt;=4, "High Risk")</f>
        <v>Medium Risk</v>
      </c>
    </row>
    <row r="25" spans="2:9" x14ac:dyDescent="0.3">
      <c r="B25" s="2" t="s">
        <v>67</v>
      </c>
      <c r="C25" s="3">
        <v>46146</v>
      </c>
      <c r="D25" t="s">
        <v>21</v>
      </c>
      <c r="E25" t="s">
        <v>39</v>
      </c>
      <c r="F25" t="s">
        <v>42</v>
      </c>
      <c r="G25" s="3">
        <v>46146</v>
      </c>
      <c r="H25" s="2">
        <f>MAX(0,IF(Aged_Risk_Tracker[[#This Row],[Status]]="Resolved", IF(ISBLANK(Aged_Risk_Tracker[[#This Row],[Resolution Date]]), 0, NETWORKDAYS(Aged_Risk_Tracker[[#This Row],[Date Received]], Aged_Risk_Tracker[[#This Row],[Resolution Date]]) - 1), NETWORKDAYS(Aged_Risk_Tracker[[#This Row],[Date Received]], DemoDate) - 1))</f>
        <v>0</v>
      </c>
      <c r="I25" t="str" cm="1">
        <f t="array" ref="I25">_xlfn.IFS(Aged_Risk_Tracker[[#This Row],[Aged Risk (Days)]]&lt;=1, "Low Risk", Aged_Risk_Tracker[[#This Row],[Aged Risk (Days)]]&lt;=3, "Medium Risk", Aged_Risk_Tracker[[#This Row],[Aged Risk (Days)]]&gt;=4, "High Risk")</f>
        <v>Low Risk</v>
      </c>
    </row>
    <row r="26" spans="2:9" x14ac:dyDescent="0.3">
      <c r="B26" s="2" t="s">
        <v>68</v>
      </c>
      <c r="C26" s="3">
        <v>46146</v>
      </c>
      <c r="D26" t="s">
        <v>20</v>
      </c>
      <c r="E26" t="s">
        <v>35</v>
      </c>
      <c r="F26" t="s">
        <v>42</v>
      </c>
      <c r="G26" s="3">
        <v>46148</v>
      </c>
      <c r="H26" s="2">
        <f>MAX(0,IF(Aged_Risk_Tracker[[#This Row],[Status]]="Resolved", IF(ISBLANK(Aged_Risk_Tracker[[#This Row],[Resolution Date]]), 0, NETWORKDAYS(Aged_Risk_Tracker[[#This Row],[Date Received]], Aged_Risk_Tracker[[#This Row],[Resolution Date]]) - 1), NETWORKDAYS(Aged_Risk_Tracker[[#This Row],[Date Received]], DemoDate) - 1))</f>
        <v>2</v>
      </c>
      <c r="I26" t="str" cm="1">
        <f t="array" ref="I26">_xlfn.IFS(Aged_Risk_Tracker[[#This Row],[Aged Risk (Days)]]&lt;=1, "Low Risk", Aged_Risk_Tracker[[#This Row],[Aged Risk (Days)]]&lt;=3, "Medium Risk", Aged_Risk_Tracker[[#This Row],[Aged Risk (Days)]]&gt;=4, "High Risk")</f>
        <v>Medium Risk</v>
      </c>
    </row>
    <row r="27" spans="2:9" x14ac:dyDescent="0.3">
      <c r="B27" s="2" t="s">
        <v>69</v>
      </c>
      <c r="C27" s="3">
        <v>46147</v>
      </c>
      <c r="D27" t="s">
        <v>24</v>
      </c>
      <c r="E27" t="s">
        <v>37</v>
      </c>
      <c r="F27" t="s">
        <v>44</v>
      </c>
      <c r="G27" s="3"/>
      <c r="H27" s="2">
        <f>MAX(0,IF(Aged_Risk_Tracker[[#This Row],[Status]]="Resolved", IF(ISBLANK(Aged_Risk_Tracker[[#This Row],[Resolution Date]]), 0, NETWORKDAYS(Aged_Risk_Tracker[[#This Row],[Date Received]], Aged_Risk_Tracker[[#This Row],[Resolution Date]]) - 1), NETWORKDAYS(Aged_Risk_Tracker[[#This Row],[Date Received]], DemoDate) - 1))</f>
        <v>3</v>
      </c>
      <c r="I27" t="str" cm="1">
        <f t="array" ref="I27">_xlfn.IFS(Aged_Risk_Tracker[[#This Row],[Aged Risk (Days)]]&lt;=1, "Low Risk", Aged_Risk_Tracker[[#This Row],[Aged Risk (Days)]]&lt;=3, "Medium Risk", Aged_Risk_Tracker[[#This Row],[Aged Risk (Days)]]&gt;=4, "High Risk")</f>
        <v>Medium Risk</v>
      </c>
    </row>
    <row r="28" spans="2:9" x14ac:dyDescent="0.3">
      <c r="B28" s="2" t="s">
        <v>70</v>
      </c>
      <c r="C28" s="3">
        <v>46147</v>
      </c>
      <c r="D28" t="s">
        <v>22</v>
      </c>
      <c r="E28" t="s">
        <v>36</v>
      </c>
      <c r="F28" t="s">
        <v>43</v>
      </c>
      <c r="G28" s="3"/>
      <c r="H28" s="2">
        <f>MAX(0,IF(Aged_Risk_Tracker[[#This Row],[Status]]="Resolved", IF(ISBLANK(Aged_Risk_Tracker[[#This Row],[Resolution Date]]), 0, NETWORKDAYS(Aged_Risk_Tracker[[#This Row],[Date Received]], Aged_Risk_Tracker[[#This Row],[Resolution Date]]) - 1), NETWORKDAYS(Aged_Risk_Tracker[[#This Row],[Date Received]], DemoDate) - 1))</f>
        <v>3</v>
      </c>
      <c r="I28" t="str" cm="1">
        <f t="array" ref="I28">_xlfn.IFS(Aged_Risk_Tracker[[#This Row],[Aged Risk (Days)]]&lt;=1, "Low Risk", Aged_Risk_Tracker[[#This Row],[Aged Risk (Days)]]&lt;=3, "Medium Risk", Aged_Risk_Tracker[[#This Row],[Aged Risk (Days)]]&gt;=4, "High Risk")</f>
        <v>Medium Risk</v>
      </c>
    </row>
    <row r="29" spans="2:9" x14ac:dyDescent="0.3">
      <c r="B29" s="2" t="s">
        <v>71</v>
      </c>
      <c r="C29" s="3">
        <v>46147</v>
      </c>
      <c r="D29" t="s">
        <v>27</v>
      </c>
      <c r="E29" t="s">
        <v>38</v>
      </c>
      <c r="F29" t="s">
        <v>42</v>
      </c>
      <c r="G29" s="3">
        <v>46150</v>
      </c>
      <c r="H29" s="2">
        <f>MAX(0,IF(Aged_Risk_Tracker[[#This Row],[Status]]="Resolved", IF(ISBLANK(Aged_Risk_Tracker[[#This Row],[Resolution Date]]), 0, NETWORKDAYS(Aged_Risk_Tracker[[#This Row],[Date Received]], Aged_Risk_Tracker[[#This Row],[Resolution Date]]) - 1), NETWORKDAYS(Aged_Risk_Tracker[[#This Row],[Date Received]], DemoDate) - 1))</f>
        <v>3</v>
      </c>
      <c r="I29" t="str" cm="1">
        <f t="array" ref="I29">_xlfn.IFS(Aged_Risk_Tracker[[#This Row],[Aged Risk (Days)]]&lt;=1, "Low Risk", Aged_Risk_Tracker[[#This Row],[Aged Risk (Days)]]&lt;=3, "Medium Risk", Aged_Risk_Tracker[[#This Row],[Aged Risk (Days)]]&gt;=4, "High Risk")</f>
        <v>Medium Risk</v>
      </c>
    </row>
    <row r="30" spans="2:9" x14ac:dyDescent="0.3">
      <c r="B30" s="2" t="s">
        <v>72</v>
      </c>
      <c r="C30" s="3">
        <v>46148</v>
      </c>
      <c r="D30" t="s">
        <v>23</v>
      </c>
      <c r="E30" t="s">
        <v>39</v>
      </c>
      <c r="F30" t="s">
        <v>43</v>
      </c>
      <c r="G30" s="3"/>
      <c r="H30" s="2">
        <f>MAX(0,IF(Aged_Risk_Tracker[[#This Row],[Status]]="Resolved", IF(ISBLANK(Aged_Risk_Tracker[[#This Row],[Resolution Date]]), 0, NETWORKDAYS(Aged_Risk_Tracker[[#This Row],[Date Received]], Aged_Risk_Tracker[[#This Row],[Resolution Date]]) - 1), NETWORKDAYS(Aged_Risk_Tracker[[#This Row],[Date Received]], DemoDate) - 1))</f>
        <v>2</v>
      </c>
      <c r="I30" t="str" cm="1">
        <f t="array" ref="I30">_xlfn.IFS(Aged_Risk_Tracker[[#This Row],[Aged Risk (Days)]]&lt;=1, "Low Risk", Aged_Risk_Tracker[[#This Row],[Aged Risk (Days)]]&lt;=3, "Medium Risk", Aged_Risk_Tracker[[#This Row],[Aged Risk (Days)]]&gt;=4, "High Risk")</f>
        <v>Medium Risk</v>
      </c>
    </row>
    <row r="31" spans="2:9" x14ac:dyDescent="0.3">
      <c r="B31" s="2" t="s">
        <v>73</v>
      </c>
      <c r="C31" s="3">
        <v>46148</v>
      </c>
      <c r="D31" t="s">
        <v>25</v>
      </c>
      <c r="E31" t="s">
        <v>35</v>
      </c>
      <c r="F31" t="s">
        <v>44</v>
      </c>
      <c r="G31" s="3"/>
      <c r="H31" s="2">
        <f>MAX(0,IF(Aged_Risk_Tracker[[#This Row],[Status]]="Resolved", IF(ISBLANK(Aged_Risk_Tracker[[#This Row],[Resolution Date]]), 0, NETWORKDAYS(Aged_Risk_Tracker[[#This Row],[Date Received]], Aged_Risk_Tracker[[#This Row],[Resolution Date]]) - 1), NETWORKDAYS(Aged_Risk_Tracker[[#This Row],[Date Received]], DemoDate) - 1))</f>
        <v>2</v>
      </c>
      <c r="I31" t="str" cm="1">
        <f t="array" ref="I31">_xlfn.IFS(Aged_Risk_Tracker[[#This Row],[Aged Risk (Days)]]&lt;=1, "Low Risk", Aged_Risk_Tracker[[#This Row],[Aged Risk (Days)]]&lt;=3, "Medium Risk", Aged_Risk_Tracker[[#This Row],[Aged Risk (Days)]]&gt;=4, "High Risk")</f>
        <v>Medium Risk</v>
      </c>
    </row>
    <row r="32" spans="2:9" x14ac:dyDescent="0.3">
      <c r="B32" s="2" t="s">
        <v>74</v>
      </c>
      <c r="C32" s="3">
        <v>46148</v>
      </c>
      <c r="D32" t="s">
        <v>97</v>
      </c>
      <c r="E32" t="s">
        <v>37</v>
      </c>
      <c r="F32" t="s">
        <v>43</v>
      </c>
      <c r="G32" s="3"/>
      <c r="H32" s="2">
        <f>MAX(0,IF(Aged_Risk_Tracker[[#This Row],[Status]]="Resolved", IF(ISBLANK(Aged_Risk_Tracker[[#This Row],[Resolution Date]]), 0, NETWORKDAYS(Aged_Risk_Tracker[[#This Row],[Date Received]], Aged_Risk_Tracker[[#This Row],[Resolution Date]]) - 1), NETWORKDAYS(Aged_Risk_Tracker[[#This Row],[Date Received]], DemoDate) - 1))</f>
        <v>2</v>
      </c>
      <c r="I32" t="str" cm="1">
        <f t="array" ref="I32">_xlfn.IFS(Aged_Risk_Tracker[[#This Row],[Aged Risk (Days)]]&lt;=1, "Low Risk", Aged_Risk_Tracker[[#This Row],[Aged Risk (Days)]]&lt;=3, "Medium Risk", Aged_Risk_Tracker[[#This Row],[Aged Risk (Days)]]&gt;=4, "High Risk")</f>
        <v>Medium Risk</v>
      </c>
    </row>
    <row r="33" spans="2:9" x14ac:dyDescent="0.3">
      <c r="B33" s="2" t="s">
        <v>75</v>
      </c>
      <c r="C33" s="3">
        <v>46149</v>
      </c>
      <c r="D33" t="s">
        <v>21</v>
      </c>
      <c r="E33" t="s">
        <v>36</v>
      </c>
      <c r="F33" t="s">
        <v>42</v>
      </c>
      <c r="G33" s="3">
        <v>46150</v>
      </c>
      <c r="H33" s="2">
        <f>MAX(0,IF(Aged_Risk_Tracker[[#This Row],[Status]]="Resolved", IF(ISBLANK(Aged_Risk_Tracker[[#This Row],[Resolution Date]]), 0, NETWORKDAYS(Aged_Risk_Tracker[[#This Row],[Date Received]], Aged_Risk_Tracker[[#This Row],[Resolution Date]]) - 1), NETWORKDAYS(Aged_Risk_Tracker[[#This Row],[Date Received]], DemoDate) - 1))</f>
        <v>1</v>
      </c>
      <c r="I33" t="str" cm="1">
        <f t="array" ref="I33">_xlfn.IFS(Aged_Risk_Tracker[[#This Row],[Aged Risk (Days)]]&lt;=1, "Low Risk", Aged_Risk_Tracker[[#This Row],[Aged Risk (Days)]]&lt;=3, "Medium Risk", Aged_Risk_Tracker[[#This Row],[Aged Risk (Days)]]&gt;=4, "High Risk")</f>
        <v>Low Risk</v>
      </c>
    </row>
    <row r="34" spans="2:9" x14ac:dyDescent="0.3">
      <c r="B34" s="2" t="s">
        <v>76</v>
      </c>
      <c r="C34" s="3">
        <v>46149</v>
      </c>
      <c r="D34" t="s">
        <v>20</v>
      </c>
      <c r="E34" t="s">
        <v>38</v>
      </c>
      <c r="F34" t="s">
        <v>43</v>
      </c>
      <c r="G34" s="3"/>
      <c r="H34" s="2">
        <f>MAX(0,IF(Aged_Risk_Tracker[[#This Row],[Status]]="Resolved", IF(ISBLANK(Aged_Risk_Tracker[[#This Row],[Resolution Date]]), 0, NETWORKDAYS(Aged_Risk_Tracker[[#This Row],[Date Received]], Aged_Risk_Tracker[[#This Row],[Resolution Date]]) - 1), NETWORKDAYS(Aged_Risk_Tracker[[#This Row],[Date Received]], DemoDate) - 1))</f>
        <v>1</v>
      </c>
      <c r="I34" t="str" cm="1">
        <f t="array" ref="I34">_xlfn.IFS(Aged_Risk_Tracker[[#This Row],[Aged Risk (Days)]]&lt;=1, "Low Risk", Aged_Risk_Tracker[[#This Row],[Aged Risk (Days)]]&lt;=3, "Medium Risk", Aged_Risk_Tracker[[#This Row],[Aged Risk (Days)]]&gt;=4, "High Risk")</f>
        <v>Low Risk</v>
      </c>
    </row>
    <row r="35" spans="2:9" x14ac:dyDescent="0.3">
      <c r="B35" s="2" t="s">
        <v>77</v>
      </c>
      <c r="C35" s="3">
        <v>46149</v>
      </c>
      <c r="D35" t="s">
        <v>24</v>
      </c>
      <c r="E35" t="s">
        <v>39</v>
      </c>
      <c r="F35" t="s">
        <v>44</v>
      </c>
      <c r="G35" s="3"/>
      <c r="H35" s="2">
        <f>MAX(0,IF(Aged_Risk_Tracker[[#This Row],[Status]]="Resolved", IF(ISBLANK(Aged_Risk_Tracker[[#This Row],[Resolution Date]]), 0, NETWORKDAYS(Aged_Risk_Tracker[[#This Row],[Date Received]], Aged_Risk_Tracker[[#This Row],[Resolution Date]]) - 1), NETWORKDAYS(Aged_Risk_Tracker[[#This Row],[Date Received]], DemoDate) - 1))</f>
        <v>1</v>
      </c>
      <c r="I35" t="str" cm="1">
        <f t="array" ref="I35">_xlfn.IFS(Aged_Risk_Tracker[[#This Row],[Aged Risk (Days)]]&lt;=1, "Low Risk", Aged_Risk_Tracker[[#This Row],[Aged Risk (Days)]]&lt;=3, "Medium Risk", Aged_Risk_Tracker[[#This Row],[Aged Risk (Days)]]&gt;=4, "High Risk")</f>
        <v>Low Risk</v>
      </c>
    </row>
    <row r="36" spans="2:9" x14ac:dyDescent="0.3">
      <c r="B36" s="2" t="s">
        <v>78</v>
      </c>
      <c r="C36" s="3">
        <v>46150</v>
      </c>
      <c r="D36" t="s">
        <v>22</v>
      </c>
      <c r="E36" t="s">
        <v>35</v>
      </c>
      <c r="F36" t="s">
        <v>43</v>
      </c>
      <c r="G36" s="3"/>
      <c r="H36" s="2">
        <f>MAX(0,IF(Aged_Risk_Tracker[[#This Row],[Status]]="Resolved", IF(ISBLANK(Aged_Risk_Tracker[[#This Row],[Resolution Date]]), 0, NETWORKDAYS(Aged_Risk_Tracker[[#This Row],[Date Received]], Aged_Risk_Tracker[[#This Row],[Resolution Date]]) - 1), NETWORKDAYS(Aged_Risk_Tracker[[#This Row],[Date Received]], DemoDate) - 1))</f>
        <v>0</v>
      </c>
      <c r="I36" t="str" cm="1">
        <f t="array" ref="I36">_xlfn.IFS(Aged_Risk_Tracker[[#This Row],[Aged Risk (Days)]]&lt;=1, "Low Risk", Aged_Risk_Tracker[[#This Row],[Aged Risk (Days)]]&lt;=3, "Medium Risk", Aged_Risk_Tracker[[#This Row],[Aged Risk (Days)]]&gt;=4, "High Risk")</f>
        <v>Low Risk</v>
      </c>
    </row>
    <row r="37" spans="2:9" x14ac:dyDescent="0.3">
      <c r="B37" s="2" t="s">
        <v>79</v>
      </c>
      <c r="C37" s="3">
        <v>46150</v>
      </c>
      <c r="D37" t="s">
        <v>27</v>
      </c>
      <c r="E37" t="s">
        <v>37</v>
      </c>
      <c r="F37" t="s">
        <v>42</v>
      </c>
      <c r="G37" s="3">
        <v>46151</v>
      </c>
      <c r="H37" s="2">
        <f>MAX(0,IF(Aged_Risk_Tracker[[#This Row],[Status]]="Resolved", IF(ISBLANK(Aged_Risk_Tracker[[#This Row],[Resolution Date]]), 0, NETWORKDAYS(Aged_Risk_Tracker[[#This Row],[Date Received]], Aged_Risk_Tracker[[#This Row],[Resolution Date]]) - 1), NETWORKDAYS(Aged_Risk_Tracker[[#This Row],[Date Received]], DemoDate) - 1))</f>
        <v>0</v>
      </c>
      <c r="I37" t="str" cm="1">
        <f t="array" ref="I37">_xlfn.IFS(Aged_Risk_Tracker[[#This Row],[Aged Risk (Days)]]&lt;=1, "Low Risk", Aged_Risk_Tracker[[#This Row],[Aged Risk (Days)]]&lt;=3, "Medium Risk", Aged_Risk_Tracker[[#This Row],[Aged Risk (Days)]]&gt;=4, "High Risk")</f>
        <v>Low Risk</v>
      </c>
    </row>
    <row r="38" spans="2:9" x14ac:dyDescent="0.3">
      <c r="B38" s="2" t="s">
        <v>80</v>
      </c>
      <c r="C38" s="3">
        <v>46150</v>
      </c>
      <c r="D38" t="s">
        <v>23</v>
      </c>
      <c r="E38" t="s">
        <v>36</v>
      </c>
      <c r="F38" t="s">
        <v>43</v>
      </c>
      <c r="G38" s="3"/>
      <c r="H38" s="2">
        <f>MAX(0,IF(Aged_Risk_Tracker[[#This Row],[Status]]="Resolved", IF(ISBLANK(Aged_Risk_Tracker[[#This Row],[Resolution Date]]), 0, NETWORKDAYS(Aged_Risk_Tracker[[#This Row],[Date Received]], Aged_Risk_Tracker[[#This Row],[Resolution Date]]) - 1), NETWORKDAYS(Aged_Risk_Tracker[[#This Row],[Date Received]], DemoDate) - 1))</f>
        <v>0</v>
      </c>
      <c r="I38" t="str" cm="1">
        <f t="array" ref="I38">_xlfn.IFS(Aged_Risk_Tracker[[#This Row],[Aged Risk (Days)]]&lt;=1, "Low Risk", Aged_Risk_Tracker[[#This Row],[Aged Risk (Days)]]&lt;=3, "Medium Risk", Aged_Risk_Tracker[[#This Row],[Aged Risk (Days)]]&gt;=4, "High Risk")</f>
        <v>Low Risk</v>
      </c>
    </row>
    <row r="39" spans="2:9" x14ac:dyDescent="0.3">
      <c r="B39" s="2" t="s">
        <v>81</v>
      </c>
      <c r="C39" s="3">
        <v>46151</v>
      </c>
      <c r="D39" t="s">
        <v>25</v>
      </c>
      <c r="E39" t="s">
        <v>38</v>
      </c>
      <c r="F39" t="s">
        <v>44</v>
      </c>
      <c r="G39" s="3"/>
      <c r="H39" s="2">
        <f>MAX(0,IF(Aged_Risk_Tracker[[#This Row],[Status]]="Resolved", IF(ISBLANK(Aged_Risk_Tracker[[#This Row],[Resolution Date]]), 0, NETWORKDAYS(Aged_Risk_Tracker[[#This Row],[Date Received]], Aged_Risk_Tracker[[#This Row],[Resolution Date]]) - 1), NETWORKDAYS(Aged_Risk_Tracker[[#This Row],[Date Received]], DemoDate) - 1))</f>
        <v>0</v>
      </c>
      <c r="I39" t="str" cm="1">
        <f t="array" ref="I39">_xlfn.IFS(Aged_Risk_Tracker[[#This Row],[Aged Risk (Days)]]&lt;=1, "Low Risk", Aged_Risk_Tracker[[#This Row],[Aged Risk (Days)]]&lt;=3, "Medium Risk", Aged_Risk_Tracker[[#This Row],[Aged Risk (Days)]]&gt;=4, "High Risk")</f>
        <v>Low Risk</v>
      </c>
    </row>
    <row r="40" spans="2:9" x14ac:dyDescent="0.3">
      <c r="B40" s="2" t="s">
        <v>82</v>
      </c>
      <c r="C40" s="3">
        <v>46151</v>
      </c>
      <c r="D40" t="s">
        <v>97</v>
      </c>
      <c r="E40" t="s">
        <v>39</v>
      </c>
      <c r="F40" t="s">
        <v>43</v>
      </c>
      <c r="G40" s="3"/>
      <c r="H40" s="2">
        <f>MAX(0,IF(Aged_Risk_Tracker[[#This Row],[Status]]="Resolved", IF(ISBLANK(Aged_Risk_Tracker[[#This Row],[Resolution Date]]), 0, NETWORKDAYS(Aged_Risk_Tracker[[#This Row],[Date Received]], Aged_Risk_Tracker[[#This Row],[Resolution Date]]) - 1), NETWORKDAYS(Aged_Risk_Tracker[[#This Row],[Date Received]], DemoDate) - 1))</f>
        <v>0</v>
      </c>
      <c r="I40" t="str" cm="1">
        <f t="array" ref="I40">_xlfn.IFS(Aged_Risk_Tracker[[#This Row],[Aged Risk (Days)]]&lt;=1, "Low Risk", Aged_Risk_Tracker[[#This Row],[Aged Risk (Days)]]&lt;=3, "Medium Risk", Aged_Risk_Tracker[[#This Row],[Aged Risk (Days)]]&gt;=4, "High Risk")</f>
        <v>Low Risk</v>
      </c>
    </row>
    <row r="41" spans="2:9" x14ac:dyDescent="0.3">
      <c r="B41" s="2" t="s">
        <v>83</v>
      </c>
      <c r="C41" s="3">
        <v>46143</v>
      </c>
      <c r="D41" t="s">
        <v>21</v>
      </c>
      <c r="E41" t="s">
        <v>35</v>
      </c>
      <c r="F41" t="s">
        <v>42</v>
      </c>
      <c r="G41" s="3">
        <v>46145</v>
      </c>
      <c r="H41" s="2">
        <f>MAX(0,IF(Aged_Risk_Tracker[[#This Row],[Status]]="Resolved", IF(ISBLANK(Aged_Risk_Tracker[[#This Row],[Resolution Date]]), 0, NETWORKDAYS(Aged_Risk_Tracker[[#This Row],[Date Received]], Aged_Risk_Tracker[[#This Row],[Resolution Date]]) - 1), NETWORKDAYS(Aged_Risk_Tracker[[#This Row],[Date Received]], DemoDate) - 1))</f>
        <v>0</v>
      </c>
      <c r="I41" t="str" cm="1">
        <f t="array" ref="I41">_xlfn.IFS(Aged_Risk_Tracker[[#This Row],[Aged Risk (Days)]]&lt;=1, "Low Risk", Aged_Risk_Tracker[[#This Row],[Aged Risk (Days)]]&lt;=3, "Medium Risk", Aged_Risk_Tracker[[#This Row],[Aged Risk (Days)]]&gt;=4, "High Risk")</f>
        <v>Low Risk</v>
      </c>
    </row>
    <row r="42" spans="2:9" x14ac:dyDescent="0.3">
      <c r="B42" s="2" t="s">
        <v>84</v>
      </c>
      <c r="C42" s="3">
        <v>46144</v>
      </c>
      <c r="D42" t="s">
        <v>20</v>
      </c>
      <c r="E42" t="s">
        <v>37</v>
      </c>
      <c r="F42" t="s">
        <v>42</v>
      </c>
      <c r="G42" s="3">
        <v>46146</v>
      </c>
      <c r="H42" s="2">
        <f>MAX(0,IF(Aged_Risk_Tracker[[#This Row],[Status]]="Resolved", IF(ISBLANK(Aged_Risk_Tracker[[#This Row],[Resolution Date]]), 0, NETWORKDAYS(Aged_Risk_Tracker[[#This Row],[Date Received]], Aged_Risk_Tracker[[#This Row],[Resolution Date]]) - 1), NETWORKDAYS(Aged_Risk_Tracker[[#This Row],[Date Received]], DemoDate) - 1))</f>
        <v>0</v>
      </c>
      <c r="I42" t="str" cm="1">
        <f t="array" ref="I42">_xlfn.IFS(Aged_Risk_Tracker[[#This Row],[Aged Risk (Days)]]&lt;=1, "Low Risk", Aged_Risk_Tracker[[#This Row],[Aged Risk (Days)]]&lt;=3, "Medium Risk", Aged_Risk_Tracker[[#This Row],[Aged Risk (Days)]]&gt;=4, "High Risk")</f>
        <v>Low Risk</v>
      </c>
    </row>
    <row r="43" spans="2:9" x14ac:dyDescent="0.3">
      <c r="B43" s="2" t="s">
        <v>85</v>
      </c>
      <c r="C43" s="3">
        <v>46144</v>
      </c>
      <c r="D43" t="s">
        <v>24</v>
      </c>
      <c r="E43" t="s">
        <v>36</v>
      </c>
      <c r="F43" t="s">
        <v>44</v>
      </c>
      <c r="G43" s="3"/>
      <c r="H43" s="2">
        <f>MAX(0,IF(Aged_Risk_Tracker[[#This Row],[Status]]="Resolved", IF(ISBLANK(Aged_Risk_Tracker[[#This Row],[Resolution Date]]), 0, NETWORKDAYS(Aged_Risk_Tracker[[#This Row],[Date Received]], Aged_Risk_Tracker[[#This Row],[Resolution Date]]) - 1), NETWORKDAYS(Aged_Risk_Tracker[[#This Row],[Date Received]], DemoDate) - 1))</f>
        <v>4</v>
      </c>
      <c r="I43" t="str" cm="1">
        <f t="array" ref="I43">_xlfn.IFS(Aged_Risk_Tracker[[#This Row],[Aged Risk (Days)]]&lt;=1, "Low Risk", Aged_Risk_Tracker[[#This Row],[Aged Risk (Days)]]&lt;=3, "Medium Risk", Aged_Risk_Tracker[[#This Row],[Aged Risk (Days)]]&gt;=4, "High Risk")</f>
        <v>High Risk</v>
      </c>
    </row>
    <row r="44" spans="2:9" x14ac:dyDescent="0.3">
      <c r="B44" s="2" t="s">
        <v>86</v>
      </c>
      <c r="C44" s="3">
        <v>46143</v>
      </c>
      <c r="D44" t="s">
        <v>22</v>
      </c>
      <c r="E44" t="s">
        <v>38</v>
      </c>
      <c r="F44" t="s">
        <v>43</v>
      </c>
      <c r="G44" s="3"/>
      <c r="H44" s="2">
        <f>MAX(0,IF(Aged_Risk_Tracker[[#This Row],[Status]]="Resolved", IF(ISBLANK(Aged_Risk_Tracker[[#This Row],[Resolution Date]]), 0, NETWORKDAYS(Aged_Risk_Tracker[[#This Row],[Date Received]], Aged_Risk_Tracker[[#This Row],[Resolution Date]]) - 1), NETWORKDAYS(Aged_Risk_Tracker[[#This Row],[Date Received]], DemoDate) - 1))</f>
        <v>5</v>
      </c>
      <c r="I44" t="str" cm="1">
        <f t="array" ref="I44">_xlfn.IFS(Aged_Risk_Tracker[[#This Row],[Aged Risk (Days)]]&lt;=1, "Low Risk", Aged_Risk_Tracker[[#This Row],[Aged Risk (Days)]]&lt;=3, "Medium Risk", Aged_Risk_Tracker[[#This Row],[Aged Risk (Days)]]&gt;=4, "High Risk")</f>
        <v>High Risk</v>
      </c>
    </row>
    <row r="45" spans="2:9" x14ac:dyDescent="0.3">
      <c r="B45" s="2" t="s">
        <v>87</v>
      </c>
      <c r="C45" s="3">
        <v>46145</v>
      </c>
      <c r="D45" t="s">
        <v>27</v>
      </c>
      <c r="E45" t="s">
        <v>39</v>
      </c>
      <c r="F45" t="s">
        <v>42</v>
      </c>
      <c r="G45" s="3">
        <v>46147</v>
      </c>
      <c r="H45" s="2">
        <f>MAX(0,IF(Aged_Risk_Tracker[[#This Row],[Status]]="Resolved", IF(ISBLANK(Aged_Risk_Tracker[[#This Row],[Resolution Date]]), 0, NETWORKDAYS(Aged_Risk_Tracker[[#This Row],[Date Received]], Aged_Risk_Tracker[[#This Row],[Resolution Date]]) - 1), NETWORKDAYS(Aged_Risk_Tracker[[#This Row],[Date Received]], DemoDate) - 1))</f>
        <v>1</v>
      </c>
      <c r="I45" t="str" cm="1">
        <f t="array" ref="I45">_xlfn.IFS(Aged_Risk_Tracker[[#This Row],[Aged Risk (Days)]]&lt;=1, "Low Risk", Aged_Risk_Tracker[[#This Row],[Aged Risk (Days)]]&lt;=3, "Medium Risk", Aged_Risk_Tracker[[#This Row],[Aged Risk (Days)]]&gt;=4, "High Risk")</f>
        <v>Low Risk</v>
      </c>
    </row>
    <row r="46" spans="2:9" x14ac:dyDescent="0.3">
      <c r="B46" s="2" t="s">
        <v>88</v>
      </c>
      <c r="C46" s="3">
        <v>46143</v>
      </c>
      <c r="D46" t="s">
        <v>23</v>
      </c>
      <c r="E46" t="s">
        <v>35</v>
      </c>
      <c r="F46" t="s">
        <v>43</v>
      </c>
      <c r="G46" s="3"/>
      <c r="H46" s="2">
        <f>MAX(0,IF(Aged_Risk_Tracker[[#This Row],[Status]]="Resolved", IF(ISBLANK(Aged_Risk_Tracker[[#This Row],[Resolution Date]]), 0, NETWORKDAYS(Aged_Risk_Tracker[[#This Row],[Date Received]], Aged_Risk_Tracker[[#This Row],[Resolution Date]]) - 1), NETWORKDAYS(Aged_Risk_Tracker[[#This Row],[Date Received]], DemoDate) - 1))</f>
        <v>5</v>
      </c>
      <c r="I46" t="str" cm="1">
        <f t="array" ref="I46">_xlfn.IFS(Aged_Risk_Tracker[[#This Row],[Aged Risk (Days)]]&lt;=1, "Low Risk", Aged_Risk_Tracker[[#This Row],[Aged Risk (Days)]]&lt;=3, "Medium Risk", Aged_Risk_Tracker[[#This Row],[Aged Risk (Days)]]&gt;=4, "High Risk")</f>
        <v>High Risk</v>
      </c>
    </row>
    <row r="47" spans="2:9" x14ac:dyDescent="0.3">
      <c r="B47" s="2" t="s">
        <v>89</v>
      </c>
      <c r="C47" s="3">
        <v>46146</v>
      </c>
      <c r="D47" t="s">
        <v>25</v>
      </c>
      <c r="E47" t="s">
        <v>37</v>
      </c>
      <c r="F47" t="s">
        <v>44</v>
      </c>
      <c r="G47" s="3"/>
      <c r="H47" s="2">
        <f>MAX(0,IF(Aged_Risk_Tracker[[#This Row],[Status]]="Resolved", IF(ISBLANK(Aged_Risk_Tracker[[#This Row],[Resolution Date]]), 0, NETWORKDAYS(Aged_Risk_Tracker[[#This Row],[Date Received]], Aged_Risk_Tracker[[#This Row],[Resolution Date]]) - 1), NETWORKDAYS(Aged_Risk_Tracker[[#This Row],[Date Received]], DemoDate) - 1))</f>
        <v>4</v>
      </c>
      <c r="I47" t="str" cm="1">
        <f t="array" ref="I47">_xlfn.IFS(Aged_Risk_Tracker[[#This Row],[Aged Risk (Days)]]&lt;=1, "Low Risk", Aged_Risk_Tracker[[#This Row],[Aged Risk (Days)]]&lt;=3, "Medium Risk", Aged_Risk_Tracker[[#This Row],[Aged Risk (Days)]]&gt;=4, "High Risk")</f>
        <v>High Risk</v>
      </c>
    </row>
    <row r="48" spans="2:9" x14ac:dyDescent="0.3">
      <c r="B48" s="2" t="s">
        <v>90</v>
      </c>
      <c r="C48" s="3">
        <v>46147</v>
      </c>
      <c r="D48" t="s">
        <v>97</v>
      </c>
      <c r="E48" t="s">
        <v>36</v>
      </c>
      <c r="F48" t="s">
        <v>43</v>
      </c>
      <c r="G48" s="3"/>
      <c r="H48" s="2">
        <f>MAX(0,IF(Aged_Risk_Tracker[[#This Row],[Status]]="Resolved", IF(ISBLANK(Aged_Risk_Tracker[[#This Row],[Resolution Date]]), 0, NETWORKDAYS(Aged_Risk_Tracker[[#This Row],[Date Received]], Aged_Risk_Tracker[[#This Row],[Resolution Date]]) - 1), NETWORKDAYS(Aged_Risk_Tracker[[#This Row],[Date Received]], DemoDate) - 1))</f>
        <v>3</v>
      </c>
      <c r="I48" t="str" cm="1">
        <f t="array" ref="I48">_xlfn.IFS(Aged_Risk_Tracker[[#This Row],[Aged Risk (Days)]]&lt;=1, "Low Risk", Aged_Risk_Tracker[[#This Row],[Aged Risk (Days)]]&lt;=3, "Medium Risk", Aged_Risk_Tracker[[#This Row],[Aged Risk (Days)]]&gt;=4, "High Risk")</f>
        <v>Medium Risk</v>
      </c>
    </row>
    <row r="49" spans="2:9" x14ac:dyDescent="0.3">
      <c r="B49" s="2" t="s">
        <v>91</v>
      </c>
      <c r="C49" s="3">
        <v>46147</v>
      </c>
      <c r="D49" t="s">
        <v>21</v>
      </c>
      <c r="E49" t="s">
        <v>38</v>
      </c>
      <c r="F49" t="s">
        <v>42</v>
      </c>
      <c r="G49" s="3">
        <v>46150</v>
      </c>
      <c r="H49" s="2">
        <f>MAX(0,IF(Aged_Risk_Tracker[[#This Row],[Status]]="Resolved", IF(ISBLANK(Aged_Risk_Tracker[[#This Row],[Resolution Date]]), 0, NETWORKDAYS(Aged_Risk_Tracker[[#This Row],[Date Received]], Aged_Risk_Tracker[[#This Row],[Resolution Date]]) - 1), NETWORKDAYS(Aged_Risk_Tracker[[#This Row],[Date Received]], DemoDate) - 1))</f>
        <v>3</v>
      </c>
      <c r="I49" t="str" cm="1">
        <f t="array" ref="I49">_xlfn.IFS(Aged_Risk_Tracker[[#This Row],[Aged Risk (Days)]]&lt;=1, "Low Risk", Aged_Risk_Tracker[[#This Row],[Aged Risk (Days)]]&lt;=3, "Medium Risk", Aged_Risk_Tracker[[#This Row],[Aged Risk (Days)]]&gt;=4, "High Risk")</f>
        <v>Medium Risk</v>
      </c>
    </row>
    <row r="50" spans="2:9" x14ac:dyDescent="0.3">
      <c r="B50" s="2" t="s">
        <v>92</v>
      </c>
      <c r="C50" s="3">
        <v>46148</v>
      </c>
      <c r="D50" t="s">
        <v>20</v>
      </c>
      <c r="E50" t="s">
        <v>39</v>
      </c>
      <c r="F50" t="s">
        <v>43</v>
      </c>
      <c r="G50" s="3"/>
      <c r="H50" s="2">
        <f>MAX(0,IF(Aged_Risk_Tracker[[#This Row],[Status]]="Resolved", IF(ISBLANK(Aged_Risk_Tracker[[#This Row],[Resolution Date]]), 0, NETWORKDAYS(Aged_Risk_Tracker[[#This Row],[Date Received]], Aged_Risk_Tracker[[#This Row],[Resolution Date]]) - 1), NETWORKDAYS(Aged_Risk_Tracker[[#This Row],[Date Received]], DemoDate) - 1))</f>
        <v>2</v>
      </c>
      <c r="I50" t="str" cm="1">
        <f t="array" ref="I50">_xlfn.IFS(Aged_Risk_Tracker[[#This Row],[Aged Risk (Days)]]&lt;=1, "Low Risk", Aged_Risk_Tracker[[#This Row],[Aged Risk (Days)]]&lt;=3, "Medium Risk", Aged_Risk_Tracker[[#This Row],[Aged Risk (Days)]]&gt;=4, "High Risk")</f>
        <v>Medium Risk</v>
      </c>
    </row>
    <row r="51" spans="2:9" x14ac:dyDescent="0.3">
      <c r="B51" s="2" t="s">
        <v>93</v>
      </c>
      <c r="C51" s="3">
        <v>46148</v>
      </c>
      <c r="D51" t="s">
        <v>24</v>
      </c>
      <c r="E51" t="s">
        <v>35</v>
      </c>
      <c r="F51" t="s">
        <v>44</v>
      </c>
      <c r="G51" s="3"/>
      <c r="H51" s="2">
        <f>MAX(0,IF(Aged_Risk_Tracker[[#This Row],[Status]]="Resolved", IF(ISBLANK(Aged_Risk_Tracker[[#This Row],[Resolution Date]]), 0, NETWORKDAYS(Aged_Risk_Tracker[[#This Row],[Date Received]], Aged_Risk_Tracker[[#This Row],[Resolution Date]]) - 1), NETWORKDAYS(Aged_Risk_Tracker[[#This Row],[Date Received]], DemoDate) - 1))</f>
        <v>2</v>
      </c>
      <c r="I51" t="str" cm="1">
        <f t="array" ref="I51">_xlfn.IFS(Aged_Risk_Tracker[[#This Row],[Aged Risk (Days)]]&lt;=1, "Low Risk", Aged_Risk_Tracker[[#This Row],[Aged Risk (Days)]]&lt;=3, "Medium Risk", Aged_Risk_Tracker[[#This Row],[Aged Risk (Days)]]&gt;=4, "High Risk")</f>
        <v>Medium Risk</v>
      </c>
    </row>
    <row r="52" spans="2:9" x14ac:dyDescent="0.3">
      <c r="B52" s="2" t="s">
        <v>94</v>
      </c>
      <c r="C52" s="3">
        <v>46149</v>
      </c>
      <c r="D52" t="s">
        <v>22</v>
      </c>
      <c r="E52" t="s">
        <v>37</v>
      </c>
      <c r="F52" t="s">
        <v>43</v>
      </c>
      <c r="G52" s="3"/>
      <c r="H52" s="2">
        <f>MAX(0,IF(Aged_Risk_Tracker[[#This Row],[Status]]="Resolved", IF(ISBLANK(Aged_Risk_Tracker[[#This Row],[Resolution Date]]), 0, NETWORKDAYS(Aged_Risk_Tracker[[#This Row],[Date Received]], Aged_Risk_Tracker[[#This Row],[Resolution Date]]) - 1), NETWORKDAYS(Aged_Risk_Tracker[[#This Row],[Date Received]], DemoDate) - 1))</f>
        <v>1</v>
      </c>
      <c r="I52" t="str" cm="1">
        <f t="array" ref="I52">_xlfn.IFS(Aged_Risk_Tracker[[#This Row],[Aged Risk (Days)]]&lt;=1, "Low Risk", Aged_Risk_Tracker[[#This Row],[Aged Risk (Days)]]&lt;=3, "Medium Risk", Aged_Risk_Tracker[[#This Row],[Aged Risk (Days)]]&gt;=4, "High Risk")</f>
        <v>Low Risk</v>
      </c>
    </row>
    <row r="53" spans="2:9" x14ac:dyDescent="0.3">
      <c r="B53" s="2" t="s">
        <v>95</v>
      </c>
      <c r="C53" s="3">
        <v>46149</v>
      </c>
      <c r="D53" t="s">
        <v>27</v>
      </c>
      <c r="E53" t="s">
        <v>36</v>
      </c>
      <c r="F53" t="s">
        <v>42</v>
      </c>
      <c r="G53" s="3">
        <v>46149</v>
      </c>
      <c r="H53" s="2">
        <f>MAX(0,IF(Aged_Risk_Tracker[[#This Row],[Status]]="Resolved", IF(ISBLANK(Aged_Risk_Tracker[[#This Row],[Resolution Date]]), 0, NETWORKDAYS(Aged_Risk_Tracker[[#This Row],[Date Received]], Aged_Risk_Tracker[[#This Row],[Resolution Date]]) - 1), NETWORKDAYS(Aged_Risk_Tracker[[#This Row],[Date Received]], DemoDate) - 1))</f>
        <v>0</v>
      </c>
      <c r="I53" t="str" cm="1">
        <f t="array" ref="I53">_xlfn.IFS(Aged_Risk_Tracker[[#This Row],[Aged Risk (Days)]]&lt;=1, "Low Risk", Aged_Risk_Tracker[[#This Row],[Aged Risk (Days)]]&lt;=3, "Medium Risk", Aged_Risk_Tracker[[#This Row],[Aged Risk (Days)]]&gt;=4, "High Risk")</f>
        <v>Low Risk</v>
      </c>
    </row>
    <row r="54" spans="2:9" x14ac:dyDescent="0.3">
      <c r="B54" s="2" t="s">
        <v>96</v>
      </c>
      <c r="C54" s="3">
        <v>46150</v>
      </c>
      <c r="D54" t="s">
        <v>23</v>
      </c>
      <c r="E54" t="s">
        <v>38</v>
      </c>
      <c r="F54" t="s">
        <v>43</v>
      </c>
      <c r="G54" s="3"/>
      <c r="H54" s="2">
        <f>MAX(0,IF(Aged_Risk_Tracker[[#This Row],[Status]]="Resolved", IF(ISBLANK(Aged_Risk_Tracker[[#This Row],[Resolution Date]]), 0, NETWORKDAYS(Aged_Risk_Tracker[[#This Row],[Date Received]], Aged_Risk_Tracker[[#This Row],[Resolution Date]]) - 1), NETWORKDAYS(Aged_Risk_Tracker[[#This Row],[Date Received]], DemoDate) - 1))</f>
        <v>0</v>
      </c>
      <c r="I54" t="str" cm="1">
        <f t="array" ref="I54">_xlfn.IFS(Aged_Risk_Tracker[[#This Row],[Aged Risk (Days)]]&lt;=1, "Low Risk", Aged_Risk_Tracker[[#This Row],[Aged Risk (Days)]]&lt;=3, "Medium Risk", Aged_Risk_Tracker[[#This Row],[Aged Risk (Days)]]&gt;=4, "High Risk")</f>
        <v>Low Risk</v>
      </c>
    </row>
    <row r="55" spans="2:9" x14ac:dyDescent="0.3">
      <c r="B55" s="2"/>
      <c r="C55" s="3"/>
      <c r="G55" s="3"/>
      <c r="H55" s="2"/>
    </row>
  </sheetData>
  <phoneticPr fontId="3" type="noConversion"/>
  <conditionalFormatting sqref="I5:I55">
    <cfRule type="containsText" dxfId="2" priority="4" operator="containsText" text="High Risk">
      <formula>NOT(ISERROR(SEARCH("High Risk",I5)))</formula>
    </cfRule>
    <cfRule type="containsText" dxfId="1" priority="5" operator="containsText" text="Medium Risk">
      <formula>NOT(ISERROR(SEARCH("Medium Risk",I5)))</formula>
    </cfRule>
    <cfRule type="containsText" dxfId="0" priority="6" operator="containsText" text="Low Risk">
      <formula>NOT(ISERROR(SEARCH("Low Risk",I5)))</formula>
    </cfRule>
  </conditionalFormatting>
  <dataValidations count="1">
    <dataValidation type="list" allowBlank="1" showInputMessage="1" showErrorMessage="1" sqref="E55:F55" xr:uid="{3C150B80-750D-4946-BFB4-75245246A082}">
      <formula1>#REF!</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4FD205C0-18F3-47E4-8CC0-44E9694161D3}">
          <x14:formula1>
            <xm:f>Calculation_Sheet!$E$5:$E$7</xm:f>
          </x14:formula1>
          <xm:sqref>F5:F54</xm:sqref>
        </x14:dataValidation>
        <x14:dataValidation type="list" allowBlank="1" showInputMessage="1" showErrorMessage="1" xr:uid="{007A1807-3293-4FDE-961D-684C4FCD936F}">
          <x14:formula1>
            <xm:f>Calculation_Sheet!$H$22:$H$27</xm:f>
          </x14:formula1>
          <xm:sqref>E5:E54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34892-8F9D-4FED-995B-A208C1BD2D46}">
  <dimension ref="B2:I28"/>
  <sheetViews>
    <sheetView topLeftCell="A2" workbookViewId="0">
      <selection activeCell="B23" sqref="B23"/>
    </sheetView>
  </sheetViews>
  <sheetFormatPr defaultRowHeight="14.4" x14ac:dyDescent="0.3"/>
  <cols>
    <col min="2" max="2" width="12.44140625" bestFit="1" customWidth="1"/>
    <col min="3" max="3" width="15.21875" bestFit="1" customWidth="1"/>
    <col min="4" max="4" width="11.6640625" bestFit="1" customWidth="1"/>
    <col min="5" max="5" width="8.6640625" bestFit="1" customWidth="1"/>
    <col min="6" max="6" width="10.5546875" bestFit="1" customWidth="1"/>
    <col min="7" max="7" width="11.6640625" bestFit="1" customWidth="1"/>
    <col min="8" max="8" width="8.6640625" bestFit="1" customWidth="1"/>
    <col min="9" max="9" width="4.21875" customWidth="1"/>
  </cols>
  <sheetData>
    <row r="2" spans="2:9" x14ac:dyDescent="0.3">
      <c r="B2" s="9" t="s">
        <v>64</v>
      </c>
    </row>
    <row r="4" spans="2:9" x14ac:dyDescent="0.3">
      <c r="B4" s="6" t="s">
        <v>51</v>
      </c>
      <c r="C4" t="s">
        <v>56</v>
      </c>
      <c r="E4" s="1" t="s">
        <v>0</v>
      </c>
      <c r="F4" s="1" t="s">
        <v>45</v>
      </c>
      <c r="H4" t="s">
        <v>98</v>
      </c>
    </row>
    <row r="5" spans="2:9" x14ac:dyDescent="0.3">
      <c r="B5" s="5" t="s">
        <v>43</v>
      </c>
      <c r="C5" s="13">
        <v>22</v>
      </c>
      <c r="E5" t="s">
        <v>43</v>
      </c>
      <c r="F5">
        <f>IFERROR(GETPIVOTDATA("Query ID",Calculation_Sheet!$B$4,"Status","Open"),0)</f>
        <v>22</v>
      </c>
      <c r="H5" t="s">
        <v>99</v>
      </c>
      <c r="I5" s="12"/>
    </row>
    <row r="6" spans="2:9" x14ac:dyDescent="0.3">
      <c r="B6" s="5" t="s">
        <v>42</v>
      </c>
      <c r="C6" s="13">
        <v>17</v>
      </c>
      <c r="E6" t="s">
        <v>44</v>
      </c>
      <c r="F6">
        <f>IFERROR(GETPIVOTDATA("Query ID",$B$4,"Status","Pending"),0)</f>
        <v>11</v>
      </c>
      <c r="H6" t="s">
        <v>47</v>
      </c>
      <c r="I6" s="10"/>
    </row>
    <row r="7" spans="2:9" x14ac:dyDescent="0.3">
      <c r="B7" s="5" t="s">
        <v>44</v>
      </c>
      <c r="C7" s="13">
        <v>11</v>
      </c>
      <c r="E7" t="s">
        <v>42</v>
      </c>
      <c r="F7">
        <f>IFERROR(GETPIVOTDATA("Query ID",$B$4,"Status","Resolved"),0)</f>
        <v>17</v>
      </c>
      <c r="H7" t="s">
        <v>48</v>
      </c>
      <c r="I7" s="11"/>
    </row>
    <row r="8" spans="2:9" x14ac:dyDescent="0.3">
      <c r="B8" s="5" t="s">
        <v>55</v>
      </c>
      <c r="C8" s="13">
        <v>50</v>
      </c>
      <c r="E8" t="s">
        <v>46</v>
      </c>
      <c r="F8">
        <f>SUM(F5:F7)</f>
        <v>50</v>
      </c>
    </row>
    <row r="10" spans="2:9" x14ac:dyDescent="0.3">
      <c r="B10" s="8" t="s">
        <v>63</v>
      </c>
    </row>
    <row r="12" spans="2:9" x14ac:dyDescent="0.3">
      <c r="B12" s="6" t="s">
        <v>51</v>
      </c>
      <c r="C12" t="s">
        <v>56</v>
      </c>
      <c r="E12" s="1" t="s">
        <v>62</v>
      </c>
      <c r="F12" s="1" t="s">
        <v>45</v>
      </c>
    </row>
    <row r="13" spans="2:9" x14ac:dyDescent="0.3">
      <c r="B13" s="5" t="s">
        <v>53</v>
      </c>
      <c r="C13" s="13">
        <v>24</v>
      </c>
      <c r="E13" s="5" t="s">
        <v>52</v>
      </c>
      <c r="F13">
        <f>IFERROR(GETPIVOTDATA("Query ID",$B$12,"Risk Bucket","High Risk"),0)</f>
        <v>10</v>
      </c>
    </row>
    <row r="14" spans="2:9" x14ac:dyDescent="0.3">
      <c r="B14" s="5" t="s">
        <v>54</v>
      </c>
      <c r="C14" s="13">
        <v>16</v>
      </c>
    </row>
    <row r="15" spans="2:9" x14ac:dyDescent="0.3">
      <c r="B15" s="5" t="s">
        <v>52</v>
      </c>
      <c r="C15" s="13">
        <v>10</v>
      </c>
      <c r="E15" s="9"/>
    </row>
    <row r="16" spans="2:9" x14ac:dyDescent="0.3">
      <c r="B16" s="5" t="s">
        <v>55</v>
      </c>
      <c r="C16" s="13">
        <v>50</v>
      </c>
      <c r="E16" t="s">
        <v>101</v>
      </c>
      <c r="F16" s="4">
        <v>46151</v>
      </c>
    </row>
    <row r="18" spans="2:8" x14ac:dyDescent="0.3">
      <c r="B18" s="6" t="s">
        <v>0</v>
      </c>
      <c r="C18" t="s">
        <v>100</v>
      </c>
    </row>
    <row r="20" spans="2:8" x14ac:dyDescent="0.3">
      <c r="B20" s="6" t="s">
        <v>56</v>
      </c>
      <c r="C20" s="6" t="s">
        <v>57</v>
      </c>
    </row>
    <row r="21" spans="2:8" x14ac:dyDescent="0.3">
      <c r="B21" s="6" t="s">
        <v>51</v>
      </c>
      <c r="C21" t="s">
        <v>53</v>
      </c>
      <c r="D21" t="s">
        <v>54</v>
      </c>
      <c r="E21" t="s">
        <v>52</v>
      </c>
      <c r="F21" t="s">
        <v>55</v>
      </c>
    </row>
    <row r="22" spans="2:8" x14ac:dyDescent="0.3">
      <c r="B22" s="5" t="s">
        <v>39</v>
      </c>
      <c r="C22" s="13">
        <v>2</v>
      </c>
      <c r="D22" s="13">
        <v>2</v>
      </c>
      <c r="E22" s="13"/>
      <c r="F22" s="13">
        <v>4</v>
      </c>
      <c r="H22" s="5" t="s">
        <v>39</v>
      </c>
    </row>
    <row r="23" spans="2:8" x14ac:dyDescent="0.3">
      <c r="B23" s="5" t="s">
        <v>38</v>
      </c>
      <c r="C23" s="13">
        <v>5</v>
      </c>
      <c r="D23" s="13"/>
      <c r="E23" s="13">
        <v>3</v>
      </c>
      <c r="F23" s="13">
        <v>8</v>
      </c>
      <c r="H23" s="5" t="s">
        <v>38</v>
      </c>
    </row>
    <row r="24" spans="2:8" x14ac:dyDescent="0.3">
      <c r="B24" s="5" t="s">
        <v>35</v>
      </c>
      <c r="C24" s="13">
        <v>2</v>
      </c>
      <c r="D24" s="13">
        <v>3</v>
      </c>
      <c r="E24" s="13">
        <v>3</v>
      </c>
      <c r="F24" s="13">
        <v>8</v>
      </c>
      <c r="H24" s="5" t="s">
        <v>35</v>
      </c>
    </row>
    <row r="25" spans="2:8" x14ac:dyDescent="0.3">
      <c r="B25" s="5" t="s">
        <v>37</v>
      </c>
      <c r="C25" s="13">
        <v>1</v>
      </c>
      <c r="D25" s="13">
        <v>3</v>
      </c>
      <c r="E25" s="13">
        <v>1</v>
      </c>
      <c r="F25" s="13">
        <v>5</v>
      </c>
      <c r="H25" s="5" t="s">
        <v>37</v>
      </c>
    </row>
    <row r="26" spans="2:8" x14ac:dyDescent="0.3">
      <c r="B26" s="5" t="s">
        <v>36</v>
      </c>
      <c r="C26" s="13">
        <v>2</v>
      </c>
      <c r="D26" s="13">
        <v>3</v>
      </c>
      <c r="E26" s="13">
        <v>1</v>
      </c>
      <c r="F26" s="13">
        <v>6</v>
      </c>
      <c r="H26" s="5" t="s">
        <v>36</v>
      </c>
    </row>
    <row r="27" spans="2:8" x14ac:dyDescent="0.3">
      <c r="B27" s="5" t="s">
        <v>40</v>
      </c>
      <c r="C27" s="13"/>
      <c r="D27" s="13"/>
      <c r="E27" s="13">
        <v>2</v>
      </c>
      <c r="F27" s="13">
        <v>2</v>
      </c>
      <c r="H27" s="5" t="s">
        <v>40</v>
      </c>
    </row>
    <row r="28" spans="2:8" x14ac:dyDescent="0.3">
      <c r="B28" s="5" t="s">
        <v>55</v>
      </c>
      <c r="C28" s="13">
        <v>12</v>
      </c>
      <c r="D28" s="13">
        <v>11</v>
      </c>
      <c r="E28" s="13">
        <v>10</v>
      </c>
      <c r="F28" s="13">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Data</vt:lpstr>
      <vt:lpstr>Calculation_Sheet</vt:lpstr>
      <vt:lpstr>DemoDate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Barratt</dc:creator>
  <cp:lastModifiedBy>Stephen Barratt</cp:lastModifiedBy>
  <cp:lastPrinted>2026-05-11T14:05:22Z</cp:lastPrinted>
  <dcterms:created xsi:type="dcterms:W3CDTF">2026-05-08T16:45:37Z</dcterms:created>
  <dcterms:modified xsi:type="dcterms:W3CDTF">2026-05-11T15:47:45Z</dcterms:modified>
</cp:coreProperties>
</file>